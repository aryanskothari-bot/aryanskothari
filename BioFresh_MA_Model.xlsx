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LBO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Valuation" sheetId="8" state="visible" r:id="rId8"/>
  </sheets>
  <definedNames>
    <definedName name="_xlnm.Print_Area" localSheetId="0">'Inputs'!$A$1:$D$55</definedName>
    <definedName name="_xlnm.Print_Area" localSheetId="1">'P&amp;L'!$A$1:$K$23</definedName>
    <definedName name="_xlnm.Print_Area" localSheetId="2">'WACC'!$A$1:$E$24</definedName>
    <definedName name="_xlnm.Print_Area" localSheetId="3">'DCF'!$A$1:$H$26</definedName>
    <definedName name="_xlnm.Print_Area" localSheetId="4">'Scenarios'!$A$1:$I$93</definedName>
    <definedName name="_xlnm.Print_Area" localSheetId="5">'LBO'!$A$1:$I$39</definedName>
    <definedName name="_xlnm.Print_Area" localSheetId="6">'Sensitivity'!$A$1:$I$11</definedName>
    <definedName name="_xlnm.Print_Area" localSheetId="7">'Valuation'!$A$1:$G$34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7">
    <numFmt numFmtId="164" formatCode="\€#,##0;&quot;(€&quot;#,##0\);\-"/>
    <numFmt numFmtId="165" formatCode="0.0\x;\(0.0&quot;x)&quot;;\-"/>
    <numFmt numFmtId="166" formatCode="0.0%;\(0.0%\);\-"/>
    <numFmt numFmtId="167" formatCode="0.0000"/>
    <numFmt numFmtId="168" formatCode="0.0%"/>
    <numFmt numFmtId="169" formatCode="\+0.0%;\-0.0%"/>
    <numFmt numFmtId="170" formatCode="&quot;€&quot;#,##0;[Red]\-&quot;€&quot;#,##0"/>
  </numFmts>
  <fonts count="33">
    <font>
      <name val="Calibri"/>
      <charset val="1"/>
      <family val="2"/>
      <color theme="1"/>
      <sz val="11"/>
    </font>
    <font>
      <name val="Calibri"/>
      <family val="2"/>
      <i val="1"/>
      <color rgb="FF757575"/>
      <sz val="8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000000"/>
      <sz val="10"/>
    </font>
    <font>
      <name val="Calibri"/>
      <family val="2"/>
      <b val="1"/>
      <color rgb="FF1B5E20"/>
      <sz val="13"/>
    </font>
    <font>
      <name val="Calibri"/>
      <family val="2"/>
      <i val="1"/>
      <color rgb="FF1B5E20"/>
      <sz val="8"/>
    </font>
    <font>
      <name val="Calibri"/>
      <family val="2"/>
      <i val="1"/>
      <color rgb="FF37474F"/>
      <sz val="9"/>
    </font>
    <font>
      <name val="Calibri"/>
      <family val="2"/>
      <color rgb="FFB71C1C"/>
      <sz val="9"/>
    </font>
    <font>
      <name val="Calibri"/>
      <family val="2"/>
      <color rgb="FF1B5E20"/>
      <sz val="9"/>
    </font>
    <font>
      <name val="Calibri"/>
      <family val="2"/>
      <color rgb="FFFFFFFF"/>
      <sz val="13"/>
    </font>
    <font>
      <name val="Calibri"/>
      <family val="2"/>
      <b val="1"/>
      <color theme="0"/>
      <sz val="10"/>
    </font>
    <font>
      <name val="Calibri"/>
      <charset val="1"/>
      <family val="2"/>
      <color theme="0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2"/>
    </font>
    <font>
      <name val="Calibri"/>
      <family val="2"/>
      <i val="1"/>
      <color theme="1"/>
      <sz val="8"/>
    </font>
    <font>
      <name val="Calibri"/>
      <family val="2"/>
      <b val="1"/>
      <color theme="1"/>
      <sz val="11"/>
    </font>
    <font>
      <name val="Calibri"/>
      <family val="2"/>
      <b val="1"/>
      <color theme="1"/>
      <sz val="9"/>
    </font>
    <font>
      <name val="Calibri"/>
      <family val="2"/>
      <b val="1"/>
      <color theme="1"/>
      <sz val="13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Yu Gothic"/>
      <charset val="128"/>
      <family val="2"/>
      <sz val="6"/>
    </font>
    <font>
      <name val="Calibri"/>
      <family val="2"/>
      <color theme="5" tint="-0.249977111117893"/>
      <sz val="9"/>
    </font>
    <font>
      <name val="Calibri"/>
      <charset val="1"/>
      <family val="2"/>
      <b val="1"/>
      <color theme="1"/>
      <sz val="11"/>
    </font>
    <font>
      <name val="Calibri"/>
      <family val="2"/>
      <i val="1"/>
      <color theme="1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8"/>
    </font>
    <font>
      <name val="Calibri"/>
      <family val="2"/>
      <b val="1"/>
      <color rgb="FFFFFFFF"/>
      <sz val="13"/>
    </font>
  </fonts>
  <fills count="20">
    <fill>
      <patternFill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C62828"/>
        <bgColor rgb="FFB71C1C"/>
      </patternFill>
    </fill>
    <fill>
      <patternFill patternType="solid">
        <fgColor rgb="FFFFCDD2"/>
        <bgColor rgb="FFD9D9D9"/>
      </patternFill>
    </fill>
    <fill>
      <patternFill patternType="solid">
        <fgColor rgb="FFD5E8D4"/>
        <bgColor rgb="FFC8E6C9"/>
      </patternFill>
    </fill>
    <fill>
      <patternFill patternType="solid">
        <fgColor rgb="FFFFD7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B8CCE4"/>
        <bgColor rgb="FF000000"/>
      </patternFill>
    </fill>
  </fills>
  <borders count="15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0" fillId="8" borderId="0" pivotButton="0" quotePrefix="0" xfId="0"/>
    <xf numFmtId="0" fontId="21" fillId="9" borderId="0" applyAlignment="1" pivotButton="0" quotePrefix="0" xfId="0">
      <alignment horizontal="center" vertical="center"/>
    </xf>
    <xf numFmtId="164" fontId="18" fillId="8" borderId="0" applyAlignment="1" pivotButton="0" quotePrefix="0" xfId="0">
      <alignment horizontal="right" vertical="center"/>
    </xf>
    <xf numFmtId="164" fontId="25" fillId="8" borderId="0" applyAlignment="1" pivotButton="0" quotePrefix="0" xfId="0">
      <alignment horizontal="right" vertical="center"/>
    </xf>
    <xf numFmtId="164" fontId="21" fillId="8" borderId="0" applyAlignment="1" pivotButton="0" quotePrefix="0" xfId="0">
      <alignment horizontal="right" vertical="center"/>
    </xf>
    <xf numFmtId="0" fontId="0" fillId="11" borderId="0" pivotButton="0" quotePrefix="0" xfId="0"/>
    <xf numFmtId="165" fontId="18" fillId="8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9" borderId="0" applyAlignment="1" pivotButton="0" quotePrefix="0" xfId="0">
      <alignment horizontal="center" vertical="center" wrapText="1"/>
    </xf>
    <xf numFmtId="166" fontId="25" fillId="8" borderId="0" applyAlignment="1" pivotButton="0" quotePrefix="0" xfId="0">
      <alignment horizontal="right" vertical="center"/>
    </xf>
    <xf numFmtId="0" fontId="21" fillId="8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/>
    </xf>
    <xf numFmtId="164" fontId="21" fillId="8" borderId="2" applyAlignment="1" pivotButton="0" quotePrefix="0" xfId="0">
      <alignment horizontal="right" vertical="center"/>
    </xf>
    <xf numFmtId="164" fontId="21" fillId="8" borderId="3" applyAlignment="1" pivotButton="0" quotePrefix="0" xfId="0">
      <alignment horizontal="right" vertical="center"/>
    </xf>
    <xf numFmtId="0" fontId="25" fillId="8" borderId="4" applyAlignment="1" pivotButton="0" quotePrefix="0" xfId="0">
      <alignment horizontal="left" vertical="center"/>
    </xf>
    <xf numFmtId="166" fontId="25" fillId="8" borderId="5" applyAlignment="1" pivotButton="0" quotePrefix="0" xfId="0">
      <alignment horizontal="right" vertical="center"/>
    </xf>
    <xf numFmtId="0" fontId="0" fillId="8" borderId="4" pivotButton="0" quotePrefix="0" xfId="0"/>
    <xf numFmtId="0" fontId="0" fillId="8" borderId="5" pivotButton="0" quotePrefix="0" xfId="0"/>
    <xf numFmtId="164" fontId="25" fillId="8" borderId="5" applyAlignment="1" pivotButton="0" quotePrefix="0" xfId="0">
      <alignment horizontal="right" vertical="center"/>
    </xf>
    <xf numFmtId="0" fontId="21" fillId="8" borderId="4" applyAlignment="1" pivotButton="0" quotePrefix="0" xfId="0">
      <alignment horizontal="left" vertical="center"/>
    </xf>
    <xf numFmtId="164" fontId="21" fillId="8" borderId="5" applyAlignment="1" pivotButton="0" quotePrefix="0" xfId="0">
      <alignment horizontal="right" vertical="center"/>
    </xf>
    <xf numFmtId="0" fontId="21" fillId="8" borderId="4" applyAlignment="1" pivotButton="0" quotePrefix="0" xfId="0">
      <alignment horizontal="center" vertical="center"/>
    </xf>
    <xf numFmtId="0" fontId="21" fillId="8" borderId="5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0" fillId="10" borderId="0" pivotButton="0" quotePrefix="0" xfId="0"/>
    <xf numFmtId="0" fontId="0" fillId="0" borderId="3" pivotButton="0" quotePrefix="0" xfId="0"/>
    <xf numFmtId="0" fontId="18" fillId="8" borderId="4" applyAlignment="1" pivotButton="0" quotePrefix="0" xfId="0">
      <alignment horizontal="left" vertical="center"/>
    </xf>
    <xf numFmtId="166" fontId="18" fillId="8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0" fontId="0" fillId="0" borderId="5" pivotButton="0" quotePrefix="0" xfId="0"/>
    <xf numFmtId="0" fontId="18" fillId="8" borderId="0" applyAlignment="1" pivotButton="0" quotePrefix="0" xfId="0">
      <alignment horizontal="right" vertical="center"/>
    </xf>
    <xf numFmtId="0" fontId="17" fillId="8" borderId="6" applyAlignment="1" pivotButton="0" quotePrefix="0" xfId="0">
      <alignment horizontal="left" vertical="center"/>
    </xf>
    <xf numFmtId="166" fontId="19" fillId="8" borderId="7" applyAlignment="1" pivotButton="0" quotePrefix="0" xfId="0">
      <alignment horizontal="right" vertical="center"/>
    </xf>
    <xf numFmtId="0" fontId="20" fillId="8" borderId="7" applyAlignment="1" pivotButton="0" quotePrefix="0" xfId="0">
      <alignment horizontal="left" vertical="center"/>
    </xf>
    <xf numFmtId="0" fontId="0" fillId="0" borderId="8" pivotButton="0" quotePrefix="0" xfId="0"/>
    <xf numFmtId="0" fontId="24" fillId="7" borderId="1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16" fillId="7" borderId="3" pivotButton="0" quotePrefix="0" xfId="0"/>
    <xf numFmtId="167" fontId="25" fillId="8" borderId="0" applyAlignment="1" pivotButton="0" quotePrefix="0" xfId="0">
      <alignment horizontal="right" vertical="center"/>
    </xf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165" fontId="25" fillId="8" borderId="0" applyAlignment="1" pivotButton="0" quotePrefix="0" xfId="0">
      <alignment horizontal="right" vertical="center"/>
    </xf>
    <xf numFmtId="0" fontId="25" fillId="8" borderId="6" applyAlignment="1" pivotButton="0" quotePrefix="0" xfId="0">
      <alignment horizontal="left" vertical="center"/>
    </xf>
    <xf numFmtId="165" fontId="25" fillId="8" borderId="7" applyAlignment="1" pivotButton="0" quotePrefix="0" xfId="0">
      <alignment horizontal="right" vertical="center"/>
    </xf>
    <xf numFmtId="0" fontId="0" fillId="11" borderId="5" pivotButton="0" quotePrefix="0" xfId="0"/>
    <xf numFmtId="0" fontId="0" fillId="11" borderId="6" pivotButton="0" quotePrefix="0" xfId="0"/>
    <xf numFmtId="0" fontId="0" fillId="11" borderId="7" pivotButton="0" quotePrefix="0" xfId="0"/>
    <xf numFmtId="0" fontId="0" fillId="11" borderId="8" pivotButton="0" quotePrefix="0" xfId="0"/>
    <xf numFmtId="0" fontId="0" fillId="8" borderId="3" pivotButton="0" quotePrefix="0" xfId="0"/>
    <xf numFmtId="0" fontId="21" fillId="8" borderId="9" applyAlignment="1" pivotButton="0" quotePrefix="0" xfId="0">
      <alignment horizontal="left" vertical="center"/>
    </xf>
    <xf numFmtId="0" fontId="0" fillId="8" borderId="11" pivotButton="0" quotePrefix="0" xfId="0"/>
    <xf numFmtId="0" fontId="0" fillId="11" borderId="11" pivotButton="0" quotePrefix="0" xfId="0"/>
    <xf numFmtId="0" fontId="17" fillId="8" borderId="9" applyAlignment="1" pivotButton="0" quotePrefix="0" xfId="0">
      <alignment horizontal="left" vertical="center"/>
    </xf>
    <xf numFmtId="0" fontId="29" fillId="8" borderId="4" applyAlignment="1" pivotButton="0" quotePrefix="0" xfId="0">
      <alignment horizontal="left" vertical="center"/>
    </xf>
    <xf numFmtId="0" fontId="29" fillId="8" borderId="1" applyAlignment="1" pivotButton="0" quotePrefix="0" xfId="0">
      <alignment horizontal="left" vertical="center"/>
    </xf>
    <xf numFmtId="164" fontId="25" fillId="8" borderId="2" applyAlignment="1" pivotButton="0" quotePrefix="0" xfId="0">
      <alignment horizontal="right" vertical="center"/>
    </xf>
    <xf numFmtId="0" fontId="30" fillId="11" borderId="9" applyAlignment="1" pivotButton="0" quotePrefix="0" xfId="0">
      <alignment horizontal="left" vertical="center"/>
    </xf>
    <xf numFmtId="0" fontId="21" fillId="11" borderId="4" applyAlignment="1" pivotButton="0" quotePrefix="0" xfId="0">
      <alignment horizontal="left" vertical="center"/>
    </xf>
    <xf numFmtId="0" fontId="18" fillId="8" borderId="6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164" fontId="21" fillId="10" borderId="2" applyAlignment="1" pivotButton="0" quotePrefix="0" xfId="0">
      <alignment horizontal="right" vertical="center"/>
    </xf>
    <xf numFmtId="164" fontId="21" fillId="10" borderId="3" applyAlignment="1" pivotButton="0" quotePrefix="0" xfId="0">
      <alignment horizontal="right" vertical="center"/>
    </xf>
    <xf numFmtId="0" fontId="0" fillId="10" borderId="6" pivotButton="0" quotePrefix="0" xfId="0"/>
    <xf numFmtId="0" fontId="0" fillId="10" borderId="7" pivotButton="0" quotePrefix="0" xfId="0"/>
    <xf numFmtId="0" fontId="0" fillId="10" borderId="8" pivotButton="0" quotePrefix="0" xfId="0"/>
    <xf numFmtId="0" fontId="21" fillId="9" borderId="9" applyAlignment="1" pivotButton="0" quotePrefix="0" xfId="0">
      <alignment horizontal="left" vertical="center"/>
    </xf>
    <xf numFmtId="0" fontId="21" fillId="9" borderId="10" applyAlignment="1" pivotButton="0" quotePrefix="0" xfId="0">
      <alignment horizontal="right" vertical="center"/>
    </xf>
    <xf numFmtId="164" fontId="21" fillId="9" borderId="10" applyAlignment="1" pivotButton="0" quotePrefix="0" xfId="0">
      <alignment horizontal="right" vertical="center"/>
    </xf>
    <xf numFmtId="164" fontId="21" fillId="9" borderId="11" applyAlignment="1" pivotButton="0" quotePrefix="0" xfId="0">
      <alignment horizontal="right" vertical="center"/>
    </xf>
    <xf numFmtId="164" fontId="21" fillId="8" borderId="10" applyAlignment="1" pivotButton="0" quotePrefix="0" xfId="0">
      <alignment horizontal="right" vertical="center"/>
    </xf>
    <xf numFmtId="0" fontId="21" fillId="10" borderId="9" applyAlignment="1" pivotButton="0" quotePrefix="0" xfId="0">
      <alignment horizontal="left" vertical="center"/>
    </xf>
    <xf numFmtId="164" fontId="21" fillId="10" borderId="10" applyAlignment="1" pivotButton="0" quotePrefix="0" xfId="0">
      <alignment horizontal="right" vertical="center"/>
    </xf>
    <xf numFmtId="0" fontId="0" fillId="10" borderId="11" pivotButton="0" quotePrefix="0" xfId="0"/>
    <xf numFmtId="165" fontId="18" fillId="8" borderId="7" applyAlignment="1" pivotButton="0" quotePrefix="0" xfId="0">
      <alignment horizontal="right" vertical="center"/>
    </xf>
    <xf numFmtId="0" fontId="0" fillId="10" borderId="10" pivotButton="0" quotePrefix="0" xfId="0"/>
    <xf numFmtId="0" fontId="0" fillId="8" borderId="10" pivotButton="0" quotePrefix="0" xfId="0"/>
    <xf numFmtId="166" fontId="21" fillId="10" borderId="10" applyAlignment="1" pivotButton="0" quotePrefix="0" xfId="0">
      <alignment horizontal="right" vertical="center"/>
    </xf>
    <xf numFmtId="0" fontId="30" fillId="12" borderId="9" applyAlignment="1" pivotButton="0" quotePrefix="0" xfId="0">
      <alignment horizontal="left" vertical="center"/>
    </xf>
    <xf numFmtId="0" fontId="0" fillId="12" borderId="11" pivotButton="0" quotePrefix="0" xfId="0"/>
    <xf numFmtId="0" fontId="21" fillId="12" borderId="4" applyAlignment="1" pivotButton="0" quotePrefix="0" xfId="0">
      <alignment horizontal="left" vertical="center"/>
    </xf>
    <xf numFmtId="0" fontId="0" fillId="12" borderId="5" pivotButton="0" quotePrefix="0" xfId="0"/>
    <xf numFmtId="0" fontId="0" fillId="12" borderId="6" pivotButton="0" quotePrefix="0" xfId="0"/>
    <xf numFmtId="0" fontId="0" fillId="12" borderId="7" pivotButton="0" quotePrefix="0" xfId="0"/>
    <xf numFmtId="0" fontId="0" fillId="12" borderId="8" pivotButton="0" quotePrefix="0" xfId="0"/>
    <xf numFmtId="0" fontId="30" fillId="14" borderId="9" applyAlignment="1" pivotButton="0" quotePrefix="0" xfId="0">
      <alignment horizontal="left" vertical="center"/>
    </xf>
    <xf numFmtId="0" fontId="0" fillId="14" borderId="11" pivotButton="0" quotePrefix="0" xfId="0"/>
    <xf numFmtId="0" fontId="21" fillId="14" borderId="4" applyAlignment="1" pivotButton="0" quotePrefix="0" xfId="0">
      <alignment horizontal="left" vertical="center"/>
    </xf>
    <xf numFmtId="0" fontId="0" fillId="14" borderId="5" pivotButton="0" quotePrefix="0" xfId="0"/>
    <xf numFmtId="0" fontId="0" fillId="14" borderId="6" pivotButton="0" quotePrefix="0" xfId="0"/>
    <xf numFmtId="0" fontId="0" fillId="14" borderId="7" pivotButton="0" quotePrefix="0" xfId="0"/>
    <xf numFmtId="0" fontId="0" fillId="14" borderId="8" pivotButton="0" quotePrefix="0" xfId="0"/>
    <xf numFmtId="0" fontId="0" fillId="10" borderId="3" pivotButton="0" quotePrefix="0" xfId="0"/>
    <xf numFmtId="0" fontId="0" fillId="10" borderId="5" pivotButton="0" quotePrefix="0" xfId="0"/>
    <xf numFmtId="0" fontId="0" fillId="0" borderId="9" pivotButton="0" quotePrefix="0" xfId="0"/>
    <xf numFmtId="164" fontId="17" fillId="8" borderId="10" applyAlignment="1" pivotButton="0" quotePrefix="0" xfId="0">
      <alignment horizontal="right" vertical="center"/>
    </xf>
    <xf numFmtId="0" fontId="17" fillId="8" borderId="10" applyAlignment="1" pivotButton="0" quotePrefix="0" xfId="0">
      <alignment horizontal="left" vertical="center"/>
    </xf>
    <xf numFmtId="0" fontId="0" fillId="0" borderId="11" pivotButton="0" quotePrefix="0" xfId="0"/>
    <xf numFmtId="0" fontId="21" fillId="10" borderId="4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8" borderId="7" applyAlignment="1" pivotButton="0" quotePrefix="0" xfId="0">
      <alignment horizontal="right" vertical="center"/>
    </xf>
    <xf numFmtId="0" fontId="0" fillId="11" borderId="4" pivotButton="0" quotePrefix="0" xfId="0"/>
    <xf numFmtId="0" fontId="3" fillId="0" borderId="4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0" fillId="11" borderId="3" pivotButton="0" quotePrefix="0" xfId="0"/>
    <xf numFmtId="0" fontId="8" fillId="11" borderId="9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168" fontId="7" fillId="7" borderId="2" applyAlignment="1" pivotButton="0" quotePrefix="0" xfId="0">
      <alignment horizontal="center" vertical="center"/>
    </xf>
    <xf numFmtId="168" fontId="7" fillId="7" borderId="3" applyAlignment="1" pivotButton="0" quotePrefix="0" xfId="0">
      <alignment horizontal="center" vertical="center"/>
    </xf>
    <xf numFmtId="10" fontId="7" fillId="2" borderId="4" applyAlignment="1" pivotButton="0" quotePrefix="0" xfId="0">
      <alignment horizontal="center" vertical="center"/>
    </xf>
    <xf numFmtId="164" fontId="27" fillId="12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164" fontId="13" fillId="5" borderId="5" applyAlignment="1" pivotButton="0" quotePrefix="0" xfId="0">
      <alignment horizontal="right" vertical="center"/>
    </xf>
    <xf numFmtId="10" fontId="7" fillId="3" borderId="4" applyAlignment="1" pivotButton="0" quotePrefix="0" xfId="0">
      <alignment horizontal="center" vertical="center"/>
    </xf>
    <xf numFmtId="164" fontId="8" fillId="6" borderId="0" applyAlignment="1" pivotButton="0" quotePrefix="0" xfId="0">
      <alignment horizontal="right" vertical="center"/>
    </xf>
    <xf numFmtId="10" fontId="7" fillId="2" borderId="6" applyAlignment="1" pivotButton="0" quotePrefix="0" xfId="0">
      <alignment horizontal="center" vertical="center"/>
    </xf>
    <xf numFmtId="164" fontId="27" fillId="12" borderId="7" applyAlignment="1" pivotButton="0" quotePrefix="0" xfId="0">
      <alignment horizontal="right" vertical="center"/>
    </xf>
    <xf numFmtId="164" fontId="12" fillId="4" borderId="7" applyAlignment="1" pivotButton="0" quotePrefix="0" xfId="0">
      <alignment horizontal="right" vertical="center"/>
    </xf>
    <xf numFmtId="164" fontId="13" fillId="5" borderId="7" applyAlignment="1" pivotButton="0" quotePrefix="0" xfId="0">
      <alignment horizontal="right" vertical="center"/>
    </xf>
    <xf numFmtId="164" fontId="13" fillId="5" borderId="8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22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164" fontId="21" fillId="13" borderId="0" applyAlignment="1" pivotButton="0" quotePrefix="0" xfId="0">
      <alignment horizontal="right" vertical="center"/>
    </xf>
    <xf numFmtId="169" fontId="18" fillId="13" borderId="0" applyAlignment="1" pivotButton="0" quotePrefix="0" xfId="0">
      <alignment horizontal="right" vertical="center"/>
    </xf>
    <xf numFmtId="164" fontId="21" fillId="14" borderId="0" applyAlignment="1" pivotButton="0" quotePrefix="0" xfId="0">
      <alignment horizontal="right" vertical="center"/>
    </xf>
    <xf numFmtId="169" fontId="18" fillId="14" borderId="0" applyAlignment="1" pivotButton="0" quotePrefix="0" xfId="0">
      <alignment horizontal="right" vertical="center"/>
    </xf>
    <xf numFmtId="164" fontId="21" fillId="15" borderId="0" applyAlignment="1" pivotButton="0" quotePrefix="0" xfId="0">
      <alignment horizontal="right" vertical="center"/>
    </xf>
    <xf numFmtId="169" fontId="18" fillId="15" borderId="0" applyAlignment="1" pivotButton="0" quotePrefix="0" xfId="0">
      <alignment horizontal="right" vertical="center"/>
    </xf>
    <xf numFmtId="164" fontId="21" fillId="8" borderId="7" applyAlignment="1" pivotButton="0" quotePrefix="0" xfId="0">
      <alignment horizontal="right" vertical="center"/>
    </xf>
    <xf numFmtId="169" fontId="18" fillId="8" borderId="7" applyAlignment="1" pivotButton="0" quotePrefix="0" xfId="0">
      <alignment horizontal="right" vertical="center"/>
    </xf>
    <xf numFmtId="0" fontId="8" fillId="17" borderId="4" applyAlignment="1" pivotButton="0" quotePrefix="0" xfId="0">
      <alignment wrapText="1"/>
    </xf>
    <xf numFmtId="0" fontId="8" fillId="17" borderId="5" applyAlignment="1" pivotButton="0" quotePrefix="0" xfId="0">
      <alignment wrapText="1"/>
    </xf>
    <xf numFmtId="0" fontId="3" fillId="17" borderId="4" applyAlignment="1" pivotButton="0" quotePrefix="0" xfId="0">
      <alignment wrapText="1"/>
    </xf>
    <xf numFmtId="170" fontId="3" fillId="17" borderId="5" applyAlignment="1" pivotButton="0" quotePrefix="0" xfId="0">
      <alignment wrapText="1"/>
    </xf>
    <xf numFmtId="170" fontId="8" fillId="17" borderId="5" applyAlignment="1" pivotButton="0" quotePrefix="0" xfId="0">
      <alignment wrapText="1"/>
    </xf>
    <xf numFmtId="10" fontId="3" fillId="17" borderId="5" applyAlignment="1" pivotButton="0" quotePrefix="0" xfId="0">
      <alignment wrapText="1"/>
    </xf>
    <xf numFmtId="0" fontId="3" fillId="17" borderId="5" applyAlignment="1" pivotButton="0" quotePrefix="0" xfId="0">
      <alignment wrapText="1"/>
    </xf>
    <xf numFmtId="0" fontId="8" fillId="17" borderId="6" applyAlignment="1" pivotButton="0" quotePrefix="0" xfId="0">
      <alignment wrapText="1"/>
    </xf>
    <xf numFmtId="10" fontId="8" fillId="17" borderId="8" applyAlignment="1" pivotButton="0" quotePrefix="0" xfId="0">
      <alignment wrapText="1"/>
    </xf>
    <xf numFmtId="0" fontId="8" fillId="19" borderId="4" applyAlignment="1" pivotButton="0" quotePrefix="0" xfId="0">
      <alignment wrapText="1"/>
    </xf>
    <xf numFmtId="0" fontId="8" fillId="19" borderId="0" applyAlignment="1" pivotButton="0" quotePrefix="0" xfId="0">
      <alignment wrapText="1"/>
    </xf>
    <xf numFmtId="0" fontId="32" fillId="2" borderId="9" applyAlignment="1" pivotButton="0" quotePrefix="0" xfId="0">
      <alignment wrapText="1"/>
    </xf>
    <xf numFmtId="0" fontId="32" fillId="2" borderId="10" applyAlignment="1" pivotButton="0" quotePrefix="0" xfId="0">
      <alignment wrapText="1"/>
    </xf>
    <xf numFmtId="0" fontId="8" fillId="16" borderId="1" applyAlignment="1" pivotButton="0" quotePrefix="0" xfId="0">
      <alignment wrapText="1"/>
    </xf>
    <xf numFmtId="0" fontId="8" fillId="16" borderId="2" applyAlignment="1" pivotButton="0" quotePrefix="0" xfId="0">
      <alignment wrapText="1"/>
    </xf>
    <xf numFmtId="0" fontId="8" fillId="18" borderId="4" applyAlignment="1" pivotButton="0" quotePrefix="0" xfId="0">
      <alignment wrapText="1"/>
    </xf>
    <xf numFmtId="0" fontId="8" fillId="18" borderId="0" applyAlignment="1" pivotButton="0" quotePrefix="0" xfId="0">
      <alignment wrapText="1"/>
    </xf>
    <xf numFmtId="0" fontId="8" fillId="16" borderId="4" applyAlignment="1" pivotButton="0" quotePrefix="0" xfId="0">
      <alignment wrapText="1"/>
    </xf>
    <xf numFmtId="0" fontId="8" fillId="16" borderId="0" applyAlignment="1" pivotButton="0" quotePrefix="0" xfId="0">
      <alignment wrapText="1"/>
    </xf>
    <xf numFmtId="0" fontId="15" fillId="7" borderId="4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/>
    </xf>
    <xf numFmtId="0" fontId="15" fillId="7" borderId="5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0" fillId="0" borderId="6" applyAlignment="1" pivotButton="0" quotePrefix="0" xfId="0">
      <alignment horizontal="left" vertical="center"/>
    </xf>
    <xf numFmtId="0" fontId="20" fillId="0" borderId="7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5" fillId="7" borderId="3" applyAlignment="1" pivotButton="0" quotePrefix="0" xfId="0">
      <alignment horizontal="left" vertical="center"/>
    </xf>
    <xf numFmtId="0" fontId="17" fillId="8" borderId="4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7" fillId="8" borderId="5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1" fillId="9" borderId="4" applyAlignment="1" pivotButton="0" quotePrefix="0" xfId="0">
      <alignment horizontal="left" vertical="center"/>
    </xf>
    <xf numFmtId="0" fontId="21" fillId="9" borderId="0" applyAlignment="1" pivotButton="0" quotePrefix="0" xfId="0">
      <alignment horizontal="left" vertical="center"/>
    </xf>
    <xf numFmtId="0" fontId="21" fillId="9" borderId="5" applyAlignment="1" pivotButton="0" quotePrefix="0" xfId="0">
      <alignment horizontal="left" vertical="center"/>
    </xf>
    <xf numFmtId="0" fontId="24" fillId="7" borderId="1" applyAlignment="1" pivotButton="0" quotePrefix="0" xfId="0">
      <alignment horizontal="left" vertical="center"/>
    </xf>
    <xf numFmtId="0" fontId="24" fillId="7" borderId="2" applyAlignment="1" pivotButton="0" quotePrefix="0" xfId="0">
      <alignment horizontal="left" vertical="center"/>
    </xf>
    <xf numFmtId="0" fontId="24" fillId="7" borderId="3" applyAlignment="1" pivotButton="0" quotePrefix="0" xfId="0">
      <alignment horizontal="left" vertical="center"/>
    </xf>
    <xf numFmtId="164" fontId="25" fillId="8" borderId="0" applyAlignment="1" pivotButton="0" quotePrefix="0" xfId="0">
      <alignment horizontal="right" vertical="center"/>
    </xf>
    <xf numFmtId="0" fontId="24" fillId="7" borderId="4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4" fillId="7" borderId="5" applyAlignment="1" pivotButton="0" quotePrefix="0" xfId="0">
      <alignment horizontal="left" vertical="center"/>
    </xf>
    <xf numFmtId="164" fontId="21" fillId="8" borderId="0" applyAlignment="1" pivotButton="0" quotePrefix="0" xfId="0">
      <alignment horizontal="right" vertical="center"/>
    </xf>
    <xf numFmtId="164" fontId="21" fillId="10" borderId="10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/>
    </xf>
    <xf numFmtId="0" fontId="21" fillId="9" borderId="2" applyAlignment="1" pivotButton="0" quotePrefix="0" xfId="0">
      <alignment horizontal="left" vertical="center"/>
    </xf>
    <xf numFmtId="0" fontId="21" fillId="9" borderId="3" applyAlignment="1" pivotButton="0" quotePrefix="0" xfId="0">
      <alignment horizontal="left" vertical="center"/>
    </xf>
    <xf numFmtId="0" fontId="21" fillId="8" borderId="4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0" fontId="21" fillId="8" borderId="5" applyAlignment="1" pivotButton="0" quotePrefix="0" xfId="0">
      <alignment horizontal="left" vertical="center"/>
    </xf>
    <xf numFmtId="164" fontId="21" fillId="8" borderId="2" applyAlignment="1" pivotButton="0" quotePrefix="0" xfId="0">
      <alignment horizontal="right" vertical="center"/>
    </xf>
    <xf numFmtId="164" fontId="21" fillId="8" borderId="10" applyAlignment="1" pivotButton="0" quotePrefix="0" xfId="0">
      <alignment horizontal="right" vertical="center"/>
    </xf>
    <xf numFmtId="165" fontId="21" fillId="12" borderId="10" applyAlignment="1" pivotButton="0" quotePrefix="0" xfId="0">
      <alignment horizontal="right" vertical="center"/>
    </xf>
    <xf numFmtId="166" fontId="21" fillId="12" borderId="0" applyAlignment="1" pivotButton="0" quotePrefix="0" xfId="0">
      <alignment horizontal="right" vertical="center"/>
    </xf>
    <xf numFmtId="165" fontId="21" fillId="14" borderId="10" applyAlignment="1" pivotButton="0" quotePrefix="0" xfId="0">
      <alignment horizontal="right" vertical="center"/>
    </xf>
    <xf numFmtId="166" fontId="21" fillId="14" borderId="0" applyAlignment="1" pivotButton="0" quotePrefix="0" xfId="0">
      <alignment horizontal="right" vertical="center"/>
    </xf>
    <xf numFmtId="165" fontId="21" fillId="11" borderId="10" applyAlignment="1" pivotButton="0" quotePrefix="0" xfId="0">
      <alignment horizontal="right" vertical="center"/>
    </xf>
    <xf numFmtId="166" fontId="21" fillId="11" borderId="0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/>
    </xf>
    <xf numFmtId="0" fontId="21" fillId="10" borderId="4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center"/>
    </xf>
    <xf numFmtId="165" fontId="18" fillId="8" borderId="0" applyAlignment="1" pivotButton="0" quotePrefix="0" xfId="0">
      <alignment horizontal="right" vertical="center"/>
    </xf>
    <xf numFmtId="164" fontId="21" fillId="11" borderId="2" applyAlignment="1" pivotButton="0" quotePrefix="0" xfId="0">
      <alignment horizontal="right" vertical="center"/>
    </xf>
    <xf numFmtId="165" fontId="23" fillId="11" borderId="2" applyAlignment="1" pivotButton="0" quotePrefix="0" xfId="0">
      <alignment horizontal="right" vertical="center"/>
    </xf>
    <xf numFmtId="10" fontId="9" fillId="11" borderId="1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14" fillId="2" borderId="13" applyAlignment="1" pivotButton="0" quotePrefix="0" xfId="0">
      <alignment horizontal="center" vertical="center"/>
    </xf>
    <xf numFmtId="0" fontId="0" fillId="0" borderId="2" pivotButton="0" quotePrefix="0" xfId="0"/>
    <xf numFmtId="0" fontId="20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15" fillId="7" borderId="13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center"/>
    </xf>
    <xf numFmtId="0" fontId="17" fillId="8" borderId="12" applyAlignment="1" pivotButton="0" quotePrefix="0" xfId="0">
      <alignment horizontal="left" vertical="center"/>
    </xf>
    <xf numFmtId="0" fontId="15" fillId="7" borderId="12" applyAlignment="1" pivotButton="0" quotePrefix="0" xfId="0">
      <alignment horizontal="left" vertical="center"/>
    </xf>
    <xf numFmtId="165" fontId="18" fillId="8" borderId="0" applyAlignment="1" pivotButton="0" quotePrefix="0" xfId="0">
      <alignment horizontal="right" vertical="center"/>
    </xf>
    <xf numFmtId="164" fontId="21" fillId="8" borderId="2" applyAlignment="1" pivotButton="0" quotePrefix="0" xfId="0">
      <alignment horizontal="right" vertical="center"/>
    </xf>
    <xf numFmtId="164" fontId="21" fillId="8" borderId="3" applyAlignment="1" pivotButton="0" quotePrefix="0" xfId="0">
      <alignment horizontal="right" vertical="center"/>
    </xf>
    <xf numFmtId="164" fontId="25" fillId="8" borderId="0" applyAlignment="1" pivotButton="0" quotePrefix="0" xfId="0">
      <alignment horizontal="right" vertical="center"/>
    </xf>
    <xf numFmtId="164" fontId="25" fillId="8" borderId="5" applyAlignment="1" pivotButton="0" quotePrefix="0" xfId="0">
      <alignment horizontal="right" vertical="center"/>
    </xf>
    <xf numFmtId="164" fontId="21" fillId="8" borderId="0" applyAlignment="1" pivotButton="0" quotePrefix="0" xfId="0">
      <alignment horizontal="right" vertical="center"/>
    </xf>
    <xf numFmtId="164" fontId="21" fillId="8" borderId="5" applyAlignment="1" pivotButton="0" quotePrefix="0" xfId="0">
      <alignment horizontal="right" vertical="center"/>
    </xf>
    <xf numFmtId="164" fontId="21" fillId="10" borderId="2" applyAlignment="1" pivotButton="0" quotePrefix="0" xfId="0">
      <alignment horizontal="right" vertical="center"/>
    </xf>
    <xf numFmtId="164" fontId="21" fillId="10" borderId="3" applyAlignment="1" pivotButton="0" quotePrefix="0" xfId="0">
      <alignment horizontal="right" vertical="center"/>
    </xf>
    <xf numFmtId="0" fontId="21" fillId="9" borderId="12" applyAlignment="1" pivotButton="0" quotePrefix="0" xfId="0">
      <alignment horizontal="left" vertical="center"/>
    </xf>
    <xf numFmtId="164" fontId="21" fillId="9" borderId="10" applyAlignment="1" pivotButton="0" quotePrefix="0" xfId="0">
      <alignment horizontal="right" vertical="center"/>
    </xf>
    <xf numFmtId="164" fontId="21" fillId="9" borderId="11" applyAlignment="1" pivotButton="0" quotePrefix="0" xfId="0">
      <alignment horizontal="right" vertical="center"/>
    </xf>
    <xf numFmtId="167" fontId="25" fillId="8" borderId="0" applyAlignment="1" pivotButton="0" quotePrefix="0" xfId="0">
      <alignment horizontal="right" vertical="center"/>
    </xf>
    <xf numFmtId="164" fontId="21" fillId="10" borderId="10" applyAlignment="1" pivotButton="0" quotePrefix="0" xfId="0">
      <alignment horizontal="right" vertical="center"/>
    </xf>
    <xf numFmtId="0" fontId="24" fillId="7" borderId="13" applyAlignment="1" pivotButton="0" quotePrefix="0" xfId="0">
      <alignment horizontal="left" vertical="center"/>
    </xf>
    <xf numFmtId="0" fontId="0" fillId="0" borderId="10" pivotButton="0" quotePrefix="0" xfId="0"/>
    <xf numFmtId="0" fontId="24" fillId="7" borderId="12" applyAlignment="1" pivotButton="0" quotePrefix="0" xfId="0">
      <alignment horizontal="left" vertical="center"/>
    </xf>
    <xf numFmtId="165" fontId="25" fillId="8" borderId="0" applyAlignment="1" pivotButton="0" quotePrefix="0" xfId="0">
      <alignment horizontal="right" vertical="center"/>
    </xf>
    <xf numFmtId="165" fontId="25" fillId="8" borderId="7" applyAlignment="1" pivotButton="0" quotePrefix="0" xfId="0">
      <alignment horizontal="right" vertical="center"/>
    </xf>
    <xf numFmtId="0" fontId="21" fillId="9" borderId="13" applyAlignment="1" pivotButton="0" quotePrefix="0" xfId="0">
      <alignment horizontal="left" vertical="center"/>
    </xf>
    <xf numFmtId="164" fontId="21" fillId="8" borderId="10" applyAlignment="1" pivotButton="0" quotePrefix="0" xfId="0">
      <alignment horizontal="right" vertical="center"/>
    </xf>
    <xf numFmtId="164" fontId="25" fillId="8" borderId="2" applyAlignment="1" pivotButton="0" quotePrefix="0" xfId="0">
      <alignment horizontal="right" vertical="center"/>
    </xf>
    <xf numFmtId="0" fontId="21" fillId="8" borderId="12" applyAlignment="1" pivotButton="0" quotePrefix="0" xfId="0">
      <alignment horizontal="left" vertical="center"/>
    </xf>
    <xf numFmtId="165" fontId="21" fillId="12" borderId="10" applyAlignment="1" pivotButton="0" quotePrefix="0" xfId="0">
      <alignment horizontal="right" vertical="center"/>
    </xf>
    <xf numFmtId="165" fontId="21" fillId="14" borderId="10" applyAlignment="1" pivotButton="0" quotePrefix="0" xfId="0">
      <alignment horizontal="right" vertical="center"/>
    </xf>
    <xf numFmtId="165" fontId="21" fillId="11" borderId="10" applyAlignment="1" pivotButton="0" quotePrefix="0" xfId="0">
      <alignment horizontal="right" vertical="center"/>
    </xf>
    <xf numFmtId="164" fontId="17" fillId="8" borderId="10" applyAlignment="1" pivotButton="0" quotePrefix="0" xfId="0">
      <alignment horizontal="right" vertical="center"/>
    </xf>
    <xf numFmtId="165" fontId="18" fillId="8" borderId="7" applyAlignment="1" pivotButton="0" quotePrefix="0" xfId="0">
      <alignment horizontal="right" vertical="center"/>
    </xf>
    <xf numFmtId="164" fontId="21" fillId="11" borderId="2" applyAlignment="1" pivotButton="0" quotePrefix="0" xfId="0">
      <alignment horizontal="right" vertical="center"/>
    </xf>
    <xf numFmtId="165" fontId="23" fillId="11" borderId="2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8" fontId="7" fillId="7" borderId="2" applyAlignment="1" pivotButton="0" quotePrefix="0" xfId="0">
      <alignment horizontal="center" vertical="center"/>
    </xf>
    <xf numFmtId="168" fontId="7" fillId="7" borderId="3" applyAlignment="1" pivotButton="0" quotePrefix="0" xfId="0">
      <alignment horizontal="center" vertical="center"/>
    </xf>
    <xf numFmtId="164" fontId="27" fillId="12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164" fontId="13" fillId="5" borderId="5" applyAlignment="1" pivotButton="0" quotePrefix="0" xfId="0">
      <alignment horizontal="right" vertical="center"/>
    </xf>
    <xf numFmtId="164" fontId="8" fillId="6" borderId="0" applyAlignment="1" pivotButton="0" quotePrefix="0" xfId="0">
      <alignment horizontal="right" vertical="center"/>
    </xf>
    <xf numFmtId="164" fontId="27" fillId="12" borderId="7" applyAlignment="1" pivotButton="0" quotePrefix="0" xfId="0">
      <alignment horizontal="right" vertical="center"/>
    </xf>
    <xf numFmtId="164" fontId="12" fillId="4" borderId="7" applyAlignment="1" pivotButton="0" quotePrefix="0" xfId="0">
      <alignment horizontal="right" vertical="center"/>
    </xf>
    <xf numFmtId="164" fontId="13" fillId="5" borderId="7" applyAlignment="1" pivotButton="0" quotePrefix="0" xfId="0">
      <alignment horizontal="right" vertical="center"/>
    </xf>
    <xf numFmtId="164" fontId="13" fillId="5" borderId="8" applyAlignment="1" pivotButton="0" quotePrefix="0" xfId="0">
      <alignment horizontal="right" vertical="center"/>
    </xf>
    <xf numFmtId="164" fontId="21" fillId="13" borderId="0" applyAlignment="1" pivotButton="0" quotePrefix="0" xfId="0">
      <alignment horizontal="right" vertical="center"/>
    </xf>
    <xf numFmtId="169" fontId="18" fillId="13" borderId="0" applyAlignment="1" pivotButton="0" quotePrefix="0" xfId="0">
      <alignment horizontal="right" vertical="center"/>
    </xf>
    <xf numFmtId="164" fontId="21" fillId="14" borderId="0" applyAlignment="1" pivotButton="0" quotePrefix="0" xfId="0">
      <alignment horizontal="right" vertical="center"/>
    </xf>
    <xf numFmtId="169" fontId="18" fillId="14" borderId="0" applyAlignment="1" pivotButton="0" quotePrefix="0" xfId="0">
      <alignment horizontal="right" vertical="center"/>
    </xf>
    <xf numFmtId="164" fontId="21" fillId="15" borderId="0" applyAlignment="1" pivotButton="0" quotePrefix="0" xfId="0">
      <alignment horizontal="right" vertical="center"/>
    </xf>
    <xf numFmtId="169" fontId="18" fillId="15" borderId="0" applyAlignment="1" pivotButton="0" quotePrefix="0" xfId="0">
      <alignment horizontal="right" vertical="center"/>
    </xf>
    <xf numFmtId="164" fontId="21" fillId="8" borderId="7" applyAlignment="1" pivotButton="0" quotePrefix="0" xfId="0">
      <alignment horizontal="right" vertical="center"/>
    </xf>
    <xf numFmtId="169" fontId="18" fillId="8" borderId="7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9D9D9"/>
      <rgbColor rgb="FF878787"/>
      <rgbColor rgb="FF9999FF"/>
      <rgbColor rgb="FFC62828"/>
      <rgbColor rgb="FFFFF9C4"/>
      <rgbColor rgb="FFECEFF1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E8D4"/>
      <rgbColor rgb="FFFFFF99"/>
      <rgbColor rgb="FFC8E6C9"/>
      <rgbColor rgb="FFFF99CC"/>
      <rgbColor rgb="FFCC99FF"/>
      <rgbColor rgb="FFFFCDD2"/>
      <rgbColor rgb="FF4F81BD"/>
      <rgbColor rgb="FF33CCCC"/>
      <rgbColor rgb="FF99CC00"/>
      <rgbColor rgb="FFFFD700"/>
      <rgbColor rgb="FFFF9900"/>
      <rgbColor rgb="FFFF6600"/>
      <rgbColor rgb="FF757575"/>
      <rgbColor rgb="FF969696"/>
      <rgbColor rgb="FF003366"/>
      <rgbColor rgb="FF2E7D32"/>
      <rgbColor rgb="FF003300"/>
      <rgbColor rgb="FF333300"/>
      <rgbColor rgb="FFB71C1C"/>
      <rgbColor rgb="FF993366"/>
      <rgbColor rgb="FF455A64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 xml:space="preserve">Valuation </a:t>
            </a:r>
            <a:endParaRPr lang="en-GB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F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Valuation!$B$10:$B$13</f>
              <strCache>
                <ptCount val="4"/>
                <pt idx="0">
                  <v>Bear DCF</v>
                </pt>
                <pt idx="1">
                  <v>Base DCF</v>
                </pt>
                <pt idx="2">
                  <v>Bull DCF</v>
                </pt>
                <pt idx="3">
                  <v>Entry EV</v>
                </pt>
              </strCache>
            </strRef>
          </cat>
          <val>
            <numRef>
              <f>Valuation!$C$10:$C$13</f>
              <numCache>
                <formatCode>\€#,##0;"(€"#,##0\);\-</formatCode>
                <ptCount val="4"/>
                <pt idx="0">
                  <v>84058</v>
                </pt>
                <pt idx="1">
                  <v>119945</v>
                </pt>
                <pt idx="2">
                  <v>144154</v>
                </pt>
                <pt idx="3">
                  <v>75000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1827814272"/>
        <axId val="1825007232"/>
      </barChart>
      <catAx>
        <axId val="182781427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FR"/>
          </a:p>
        </txPr>
        <crossAx val="1825007232"/>
        <crosses val="autoZero"/>
        <auto val="1"/>
        <lblAlgn val="ctr"/>
        <lblOffset val="100"/>
        <noMultiLvlLbl val="0"/>
      </catAx>
      <valAx>
        <axId val="18250072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GB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GB"/>
            </a:p>
          </txPr>
        </title>
        <numFmt formatCode="\€#,##0;&quot;(€&quot;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FR"/>
          </a:p>
        </txPr>
        <crossAx val="1827814272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164642</colOff>
      <row>8</row>
      <rowOff>5035</rowOff>
    </from>
    <to>
      <col>4</col>
      <colOff>353998</colOff>
      <row>25</row>
      <rowOff>139814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B1:D55"/>
  <sheetViews>
    <sheetView showGridLines="0" zoomScaleNormal="100" workbookViewId="0">
      <selection activeCell="B1" sqref="B1:D1"/>
    </sheetView>
  </sheetViews>
  <sheetFormatPr baseColWidth="10" defaultColWidth="8.6640625" defaultRowHeight="15"/>
  <cols>
    <col width="3" customWidth="1" min="1" max="1"/>
    <col width="40" customWidth="1" min="2" max="2"/>
    <col width="16" customWidth="1" min="3" max="4"/>
    <col width="3" customWidth="1" min="5" max="5"/>
  </cols>
  <sheetData>
    <row r="1" ht="31.5" customHeight="1">
      <c r="B1" s="225" t="inlineStr">
        <is>
          <t xml:space="preserve"> BioFresh SAS  </t>
        </is>
      </c>
      <c r="C1" s="226" t="n"/>
      <c r="D1" s="30" t="n"/>
    </row>
    <row r="2" ht="12" customHeight="1">
      <c r="B2" s="227" t="inlineStr">
        <is>
          <t>All amt are in €k</t>
        </is>
      </c>
      <c r="C2" s="228" t="n"/>
      <c r="D2" s="39" t="n"/>
    </row>
    <row r="4" ht="19.5" customHeight="1">
      <c r="B4" s="229" t="inlineStr">
        <is>
          <t>HISTORICAL ANCHOR VALUES</t>
        </is>
      </c>
      <c r="C4" s="226" t="n"/>
      <c r="D4" s="30" t="n"/>
    </row>
    <row r="5" ht="18" customHeight="1">
      <c r="B5" s="31" t="inlineStr">
        <is>
          <t>Revenue FY2024</t>
        </is>
      </c>
      <c r="C5" s="230" t="n">
        <v>44600</v>
      </c>
      <c r="D5" s="22" t="n"/>
    </row>
    <row r="6" ht="18" customHeight="1">
      <c r="B6" s="31" t="inlineStr">
        <is>
          <t>Revenue CAGR (FY22-FY24)</t>
        </is>
      </c>
      <c r="C6" s="32" t="n">
        <v>0.082</v>
      </c>
      <c r="D6" s="22" t="n"/>
    </row>
    <row r="7" ht="18" customHeight="1">
      <c r="B7" s="31" t="inlineStr">
        <is>
          <t>Revenue FY2023</t>
        </is>
      </c>
      <c r="C7" s="230">
        <f>ROUND(C5/1.082,0)</f>
        <v/>
      </c>
      <c r="D7" s="22" t="n"/>
    </row>
    <row r="8" ht="18" customHeight="1">
      <c r="B8" s="31" t="inlineStr">
        <is>
          <t>Revenue FY2022</t>
        </is>
      </c>
      <c r="C8" s="230">
        <f>ROUND(C7/1.082,0)</f>
        <v/>
      </c>
      <c r="D8" s="22" t="n"/>
    </row>
    <row r="9" ht="18" customHeight="1">
      <c r="B9" s="31" t="inlineStr">
        <is>
          <t>Net Financial Debt FY2024</t>
        </is>
      </c>
      <c r="C9" s="230" t="n">
        <v>3200</v>
      </c>
      <c r="D9" s="22" t="n"/>
    </row>
    <row r="10" ht="6" customHeight="1">
      <c r="B10" s="21" t="n"/>
      <c r="C10" s="4" t="n"/>
      <c r="D10" s="22" t="n"/>
    </row>
    <row r="11" ht="19.5" customHeight="1">
      <c r="B11" s="231" t="inlineStr">
        <is>
          <t>HISTORICAL RATIOS</t>
        </is>
      </c>
      <c r="D11" s="34" t="n"/>
    </row>
    <row r="12" ht="18" customHeight="1">
      <c r="B12" s="31" t="inlineStr">
        <is>
          <t xml:space="preserve">Gross Margin </t>
        </is>
      </c>
      <c r="C12" s="32" t="n">
        <v>0.285</v>
      </c>
      <c r="D12" s="22" t="n"/>
    </row>
    <row r="13" ht="18" customHeight="1">
      <c r="B13" s="31" t="inlineStr">
        <is>
          <t>SG&amp;A % of Revenue</t>
        </is>
      </c>
      <c r="C13" s="32" t="n">
        <v>0.145</v>
      </c>
      <c r="D13" s="22" t="n"/>
    </row>
    <row r="14" ht="18" customHeight="1">
      <c r="B14" s="31" t="inlineStr">
        <is>
          <t>EBITDA Margin FY2024</t>
        </is>
      </c>
      <c r="C14" s="32" t="n">
        <v>0.14</v>
      </c>
      <c r="D14" s="22" t="n"/>
    </row>
    <row r="15" ht="18" customHeight="1">
      <c r="B15" s="31" t="inlineStr">
        <is>
          <t>D&amp;A % of Revenue</t>
        </is>
      </c>
      <c r="C15" s="32" t="n">
        <v>0.03</v>
      </c>
      <c r="D15" s="22" t="n"/>
    </row>
    <row r="16" ht="18" customHeight="1">
      <c r="B16" s="31" t="inlineStr">
        <is>
          <t xml:space="preserve">Interest Coverage </t>
        </is>
      </c>
      <c r="C16" s="35" t="n">
        <v>11.5</v>
      </c>
      <c r="D16" s="22" t="n"/>
    </row>
    <row r="17" ht="18" customHeight="1">
      <c r="B17" s="31" t="inlineStr">
        <is>
          <t>Implied Interest Expense FY2024</t>
        </is>
      </c>
      <c r="C17" s="230">
        <f>ROUND(C5*C14/C16,0)</f>
        <v/>
      </c>
      <c r="D17" s="22" t="n"/>
    </row>
    <row r="18" ht="18" customHeight="1">
      <c r="B18" s="31" t="inlineStr">
        <is>
          <t>Tax Rate</t>
        </is>
      </c>
      <c r="C18" s="32" t="n">
        <v>0.25</v>
      </c>
      <c r="D18" s="22" t="n"/>
    </row>
    <row r="19" ht="6" customHeight="1">
      <c r="B19" s="44" t="n"/>
      <c r="C19" s="45" t="n"/>
      <c r="D19" s="46" t="n"/>
    </row>
    <row r="20" ht="19.5" customHeight="1">
      <c r="B20" s="232" t="inlineStr">
        <is>
          <t>PROJECTION PARAMETERS</t>
        </is>
      </c>
      <c r="D20" s="34" t="n"/>
    </row>
    <row r="21" ht="18" customHeight="1">
      <c r="B21" s="31" t="inlineStr">
        <is>
          <t>D&amp;A % (all years)</t>
        </is>
      </c>
      <c r="C21" s="32" t="n">
        <v>0.03</v>
      </c>
      <c r="D21" s="22" t="n"/>
    </row>
    <row r="22" ht="18" customHeight="1">
      <c r="B22" s="31" t="inlineStr">
        <is>
          <t>Capex % (all years)</t>
        </is>
      </c>
      <c r="C22" s="32" t="n">
        <v>0.025</v>
      </c>
      <c r="D22" s="22" t="n"/>
    </row>
    <row r="23" ht="18" customHeight="1">
      <c r="B23" s="31" t="inlineStr">
        <is>
          <t>NWC % (all years)</t>
        </is>
      </c>
      <c r="C23" s="32" t="n">
        <v>0.08</v>
      </c>
      <c r="D23" s="22" t="n"/>
    </row>
    <row r="24" ht="18" customHeight="1">
      <c r="B24" s="31" t="inlineStr">
        <is>
          <t>Terminal Growth Rate</t>
        </is>
      </c>
      <c r="C24" s="32" t="n">
        <v>0.025</v>
      </c>
      <c r="D24" s="22" t="n"/>
    </row>
    <row r="25" ht="6" customHeight="1">
      <c r="B25" s="21" t="n"/>
      <c r="C25" s="4" t="n"/>
      <c r="D25" s="22" t="n"/>
    </row>
    <row r="26" ht="19.5" customHeight="1">
      <c r="B26" s="232" t="inlineStr">
        <is>
          <t>SCENARIOS</t>
        </is>
      </c>
      <c r="D26" s="34" t="n"/>
    </row>
    <row r="27" ht="18" customHeight="1">
      <c r="B27" s="31" t="inlineStr">
        <is>
          <t>BEAR -  Revenue Growth</t>
        </is>
      </c>
      <c r="C27" s="32" t="n">
        <v>0.03</v>
      </c>
      <c r="D27" s="22" t="n"/>
    </row>
    <row r="28" ht="18" customHeight="1">
      <c r="B28" s="31" t="inlineStr">
        <is>
          <t>BEAR - EBITDA Margin (all years)</t>
        </is>
      </c>
      <c r="C28" s="32" t="n">
        <v>0.13</v>
      </c>
      <c r="D28" s="22" t="n"/>
    </row>
    <row r="29" ht="18" customHeight="1">
      <c r="B29" s="31" t="inlineStr">
        <is>
          <t>BASE - Revenue Growth</t>
        </is>
      </c>
      <c r="C29" s="32" t="n">
        <v>0.08</v>
      </c>
      <c r="D29" s="22" t="n"/>
    </row>
    <row r="30" ht="18" customHeight="1">
      <c r="B30" s="31" t="inlineStr">
        <is>
          <t>BASE - EBITDA Margin Yr1</t>
        </is>
      </c>
      <c r="C30" s="32" t="n">
        <v>0.145</v>
      </c>
      <c r="D30" s="22" t="n"/>
    </row>
    <row r="31" ht="18" customHeight="1">
      <c r="B31" s="31" t="inlineStr">
        <is>
          <t>BASE - EBITDA Margin Yr2-5</t>
        </is>
      </c>
      <c r="C31" s="32" t="n">
        <v>0.15</v>
      </c>
      <c r="D31" s="22" t="n"/>
    </row>
    <row r="32" ht="18" customHeight="1">
      <c r="B32" s="31" t="inlineStr">
        <is>
          <t>BULL - Revenue Growth</t>
        </is>
      </c>
      <c r="C32" s="32" t="n">
        <v>0.12</v>
      </c>
      <c r="D32" s="22" t="n"/>
    </row>
    <row r="33" ht="18" customHeight="1">
      <c r="B33" s="31" t="inlineStr">
        <is>
          <t>BULL - EBITDA Margin (all years)</t>
        </is>
      </c>
      <c r="C33" s="32" t="n">
        <v>0.155</v>
      </c>
      <c r="D33" s="22" t="n"/>
    </row>
    <row r="34" ht="6" customHeight="1">
      <c r="B34" s="21" t="n"/>
      <c r="C34" s="4" t="n"/>
      <c r="D34" s="22" t="n"/>
    </row>
    <row r="35" ht="19.5" customHeight="1">
      <c r="B35" s="232" t="inlineStr">
        <is>
          <t>LBO STRUCTURE</t>
        </is>
      </c>
      <c r="D35" s="34" t="n"/>
    </row>
    <row r="36" ht="18" customHeight="1">
      <c r="B36" s="31" t="inlineStr">
        <is>
          <t>Entry EV</t>
        </is>
      </c>
      <c r="C36" s="230" t="n">
        <v>75000</v>
      </c>
      <c r="D36" s="22" t="n"/>
    </row>
    <row r="37" ht="18" customHeight="1">
      <c r="B37" s="31" t="inlineStr">
        <is>
          <t>Equity %</t>
        </is>
      </c>
      <c r="C37" s="32" t="n">
        <v>0.4</v>
      </c>
      <c r="D37" s="22" t="n"/>
    </row>
    <row r="38" ht="18" customHeight="1">
      <c r="B38" s="31" t="inlineStr">
        <is>
          <t>Equity Invested</t>
        </is>
      </c>
      <c r="C38" s="230">
        <f>C36*C37</f>
        <v/>
      </c>
      <c r="D38" s="22" t="n"/>
    </row>
    <row r="39" ht="18" customHeight="1">
      <c r="B39" s="31" t="inlineStr">
        <is>
          <t>Senior Debt</t>
        </is>
      </c>
      <c r="C39" s="230">
        <f>C36*(1-C37)</f>
        <v/>
      </c>
      <c r="D39" s="22" t="n"/>
    </row>
    <row r="40" ht="18" customHeight="1">
      <c r="B40" s="31" t="inlineStr">
        <is>
          <t>LBO Interest Rate</t>
        </is>
      </c>
      <c r="C40" s="32" t="n">
        <v>0.07000000000000001</v>
      </c>
      <c r="D40" s="22" t="n"/>
    </row>
    <row r="41" ht="18" customHeight="1">
      <c r="B41" s="31" t="inlineStr">
        <is>
          <t>Annual Amortization</t>
        </is>
      </c>
      <c r="C41" s="230" t="n">
        <v>5000</v>
      </c>
      <c r="D41" s="22" t="n"/>
    </row>
    <row r="42" ht="18" customHeight="1">
      <c r="B42" s="31" t="inlineStr">
        <is>
          <t>Exit Multiple</t>
        </is>
      </c>
      <c r="C42" s="233" t="n">
        <v>12</v>
      </c>
      <c r="D42" s="22" t="n"/>
    </row>
    <row r="43" ht="6" customHeight="1">
      <c r="B43" s="21" t="n"/>
      <c r="C43" s="4" t="n"/>
      <c r="D43" s="22" t="n"/>
    </row>
    <row r="44" ht="19.5" customHeight="1">
      <c r="B44" s="232" t="inlineStr">
        <is>
          <t>WACC INPUTS</t>
        </is>
      </c>
      <c r="D44" s="34" t="n"/>
    </row>
    <row r="45" ht="18" customHeight="1">
      <c r="B45" s="31" t="inlineStr">
        <is>
          <t>Risk-Free Rate (10Y OAT)</t>
        </is>
      </c>
      <c r="C45" s="32" t="n">
        <v>0.033</v>
      </c>
      <c r="D45" s="22" t="n"/>
    </row>
    <row r="46" ht="18" customHeight="1">
      <c r="B46" s="31" t="inlineStr">
        <is>
          <t>Equity Beta</t>
        </is>
      </c>
      <c r="C46" s="35" t="n">
        <v>0.85</v>
      </c>
      <c r="D46" s="22" t="n"/>
    </row>
    <row r="47" ht="18" customHeight="1">
      <c r="B47" s="31" t="inlineStr">
        <is>
          <t>Equity Risk Premium</t>
        </is>
      </c>
      <c r="C47" s="32" t="n">
        <v>0.055</v>
      </c>
      <c r="D47" s="22" t="n"/>
    </row>
    <row r="48" ht="18" customHeight="1">
      <c r="B48" s="31" t="inlineStr">
        <is>
          <t>Pre-Tax Cost of Debt</t>
        </is>
      </c>
      <c r="C48" s="32" t="n">
        <v>0.055</v>
      </c>
      <c r="D48" s="22" t="n"/>
    </row>
    <row r="49" ht="18" customHeight="1">
      <c r="B49" s="31" t="inlineStr">
        <is>
          <t xml:space="preserve">Debt Weight </t>
        </is>
      </c>
      <c r="C49" s="32" t="n">
        <v>0.3</v>
      </c>
      <c r="D49" s="22" t="n"/>
    </row>
    <row r="50" ht="18" customHeight="1">
      <c r="B50" s="31" t="inlineStr">
        <is>
          <t xml:space="preserve">Equity Weight </t>
        </is>
      </c>
      <c r="C50" s="32" t="n">
        <v>0.7</v>
      </c>
      <c r="D50" s="22" t="n"/>
    </row>
    <row r="51" ht="6" customHeight="1">
      <c r="B51" s="21" t="n"/>
      <c r="C51" s="4" t="n"/>
      <c r="D51" s="22" t="n"/>
    </row>
    <row r="52" ht="19.5" customHeight="1">
      <c r="B52" s="232" t="inlineStr">
        <is>
          <t>DERIVED WACC</t>
        </is>
      </c>
      <c r="D52" s="34" t="n"/>
    </row>
    <row r="53" ht="18" customHeight="1">
      <c r="B53" s="31" t="inlineStr">
        <is>
          <t xml:space="preserve">Cost of Equity  </t>
        </is>
      </c>
      <c r="C53" s="32">
        <f>C45+C46*C47</f>
        <v/>
      </c>
      <c r="D53" s="22" t="n"/>
    </row>
    <row r="54" ht="18" customHeight="1">
      <c r="B54" s="31" t="inlineStr">
        <is>
          <t>After-Tax Cost of Debt</t>
        </is>
      </c>
      <c r="C54" s="32">
        <f>C48*(1-C18)</f>
        <v/>
      </c>
      <c r="D54" s="22" t="n"/>
    </row>
    <row r="55" ht="18" customHeight="1">
      <c r="B55" s="64" t="inlineStr">
        <is>
          <t>WACC</t>
        </is>
      </c>
      <c r="C55" s="37">
        <f>C50*C53+C49*C54</f>
        <v/>
      </c>
      <c r="D55" s="46" t="n"/>
    </row>
  </sheetData>
  <mergeCells count="9">
    <mergeCell ref="B11:D11"/>
    <mergeCell ref="B1:D1"/>
    <mergeCell ref="B35:D35"/>
    <mergeCell ref="B4:D4"/>
    <mergeCell ref="B26:D26"/>
    <mergeCell ref="B52:D52"/>
    <mergeCell ref="B44:D44"/>
    <mergeCell ref="B2:D2"/>
    <mergeCell ref="B20:D20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23"/>
  <sheetViews>
    <sheetView showGridLines="0" zoomScaleNormal="100" workbookViewId="0">
      <selection activeCell="B30" sqref="B30"/>
    </sheetView>
  </sheetViews>
  <sheetFormatPr baseColWidth="10" defaultColWidth="8.6640625" defaultRowHeight="15"/>
  <cols>
    <col width="3" customWidth="1" min="1" max="1"/>
    <col width="30" customWidth="1" min="2" max="2"/>
    <col width="13" customWidth="1" min="3" max="10"/>
    <col width="3" customWidth="1" min="11" max="11"/>
  </cols>
  <sheetData>
    <row r="1" ht="31.5" customHeight="1">
      <c r="B1" s="180" t="inlineStr">
        <is>
          <t xml:space="preserve">INCOME STATEMENT + FCF BRIDGE  </t>
        </is>
      </c>
    </row>
    <row r="2" ht="12" customHeight="1">
      <c r="B2" s="181" t="n"/>
    </row>
    <row r="4" ht="24" customHeight="1">
      <c r="B4" s="5" t="n"/>
      <c r="C4" s="12" t="inlineStr">
        <is>
          <t>FY2022</t>
        </is>
      </c>
      <c r="D4" s="12" t="inlineStr">
        <is>
          <t>FY2023</t>
        </is>
      </c>
      <c r="E4" s="12" t="inlineStr">
        <is>
          <t>FY2024</t>
        </is>
      </c>
      <c r="F4" s="5" t="inlineStr">
        <is>
          <t>FY2025E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4" t="n"/>
    </row>
    <row r="5" ht="18" customHeight="1">
      <c r="B5" s="16" t="inlineStr">
        <is>
          <t>Revenue</t>
        </is>
      </c>
      <c r="C5" s="234">
        <f>Inputs!$C$8</f>
        <v/>
      </c>
      <c r="D5" s="234">
        <f>Inputs!$C$7</f>
        <v/>
      </c>
      <c r="E5" s="234">
        <f>Inputs!$C$5</f>
        <v/>
      </c>
      <c r="F5" s="234">
        <f>E5*(1+Inputs!$C$29)</f>
        <v/>
      </c>
      <c r="G5" s="234">
        <f>F5*(1+Inputs!$C$29)</f>
        <v/>
      </c>
      <c r="H5" s="234">
        <f>G5*(1+Inputs!$C$29)</f>
        <v/>
      </c>
      <c r="I5" s="234">
        <f>H5*(1+Inputs!$C$29)</f>
        <v/>
      </c>
      <c r="J5" s="235">
        <f>I5*(1+Inputs!$C$29)</f>
        <v/>
      </c>
      <c r="K5" s="4" t="n"/>
    </row>
    <row r="6" ht="18" customHeight="1">
      <c r="B6" s="19" t="inlineStr">
        <is>
          <t xml:space="preserve">  Revenue Growth </t>
        </is>
      </c>
      <c r="C6" s="13" t="n"/>
      <c r="D6" s="13">
        <f>D5/C5-1</f>
        <v/>
      </c>
      <c r="E6" s="13">
        <f>E5/D5-1</f>
        <v/>
      </c>
      <c r="F6" s="13">
        <f>Inputs!$C$29</f>
        <v/>
      </c>
      <c r="G6" s="13">
        <f>Inputs!$C$29</f>
        <v/>
      </c>
      <c r="H6" s="13">
        <f>Inputs!$C$29</f>
        <v/>
      </c>
      <c r="I6" s="13">
        <f>Inputs!$C$29</f>
        <v/>
      </c>
      <c r="J6" s="20">
        <f>Inputs!$C$29</f>
        <v/>
      </c>
      <c r="K6" s="4" t="n"/>
    </row>
    <row r="7" ht="6" customHeight="1">
      <c r="B7" s="21" t="n"/>
      <c r="C7" s="4" t="n"/>
      <c r="D7" s="4" t="n"/>
      <c r="E7" s="4" t="n"/>
      <c r="F7" s="4" t="n"/>
      <c r="G7" s="4" t="n"/>
      <c r="H7" s="4" t="n"/>
      <c r="I7" s="4" t="n"/>
      <c r="J7" s="22" t="n"/>
      <c r="K7" s="4" t="n"/>
    </row>
    <row r="8" ht="18" customHeight="1">
      <c r="B8" s="19" t="inlineStr">
        <is>
          <t>Gross Profit</t>
        </is>
      </c>
      <c r="C8" s="236">
        <f>ROUND(C5*Inputs!$C$12,0)</f>
        <v/>
      </c>
      <c r="D8" s="236">
        <f>ROUND(D5*Inputs!$C$12,0)</f>
        <v/>
      </c>
      <c r="E8" s="236">
        <f>ROUND(E5*Inputs!$C$12,0)</f>
        <v/>
      </c>
      <c r="F8" s="236">
        <f>ROUND(F5*Inputs!$C$12,0)</f>
        <v/>
      </c>
      <c r="G8" s="236">
        <f>ROUND(G5*Inputs!$C$12,0)</f>
        <v/>
      </c>
      <c r="H8" s="236">
        <f>ROUND(H5*Inputs!$C$12,0)</f>
        <v/>
      </c>
      <c r="I8" s="236">
        <f>ROUND(I5*Inputs!$C$12,0)</f>
        <v/>
      </c>
      <c r="J8" s="237">
        <f>ROUND(J5*Inputs!$C$12,0)</f>
        <v/>
      </c>
      <c r="K8" s="4" t="n"/>
    </row>
    <row r="9" ht="18" customHeight="1">
      <c r="B9" s="19" t="inlineStr">
        <is>
          <t xml:space="preserve">  SG&amp;A</t>
        </is>
      </c>
      <c r="C9" s="236">
        <f>ROUND(-C5*Inputs!$C$13,0)</f>
        <v/>
      </c>
      <c r="D9" s="236">
        <f>ROUND(-D5*Inputs!$C$13,0)</f>
        <v/>
      </c>
      <c r="E9" s="236">
        <f>ROUND(-E5*Inputs!$C$13,0)</f>
        <v/>
      </c>
      <c r="F9" s="236">
        <f>ROUND(-F5*Inputs!$C$13,0)</f>
        <v/>
      </c>
      <c r="G9" s="236">
        <f>ROUND(-G5*Inputs!$C$13,0)</f>
        <v/>
      </c>
      <c r="H9" s="236">
        <f>ROUND(-H5*Inputs!$C$13,0)</f>
        <v/>
      </c>
      <c r="I9" s="236">
        <f>ROUND(-I5*Inputs!$C$13,0)</f>
        <v/>
      </c>
      <c r="J9" s="237">
        <f>ROUND(-J5*Inputs!$C$13,0)</f>
        <v/>
      </c>
      <c r="K9" s="4" t="n"/>
    </row>
    <row r="10" ht="18" customHeight="1">
      <c r="B10" s="199" t="inlineStr">
        <is>
          <t>EBITDA</t>
        </is>
      </c>
      <c r="C10" s="238">
        <f>C8+C9</f>
        <v/>
      </c>
      <c r="D10" s="238">
        <f>D8+D9</f>
        <v/>
      </c>
      <c r="E10" s="238">
        <f>E8+E9</f>
        <v/>
      </c>
      <c r="F10" s="238">
        <f>F5*Inputs!$C$30</f>
        <v/>
      </c>
      <c r="G10" s="238">
        <f>G5*Inputs!$C$31</f>
        <v/>
      </c>
      <c r="H10" s="238">
        <f>H5*Inputs!$C$31</f>
        <v/>
      </c>
      <c r="I10" s="238">
        <f>I5*Inputs!$C$31</f>
        <v/>
      </c>
      <c r="J10" s="239">
        <f>J5*Inputs!$C$31</f>
        <v/>
      </c>
      <c r="K10" s="4" t="n"/>
    </row>
    <row r="11" ht="18" customHeight="1">
      <c r="B11" s="19" t="inlineStr">
        <is>
          <t xml:space="preserve">  EBITDA Margin </t>
        </is>
      </c>
      <c r="C11" s="13">
        <f>C10/C5</f>
        <v/>
      </c>
      <c r="D11" s="13">
        <f>D10/D5</f>
        <v/>
      </c>
      <c r="E11" s="13">
        <f>E10/E5</f>
        <v/>
      </c>
      <c r="F11" s="13">
        <f>F10/F5</f>
        <v/>
      </c>
      <c r="G11" s="13">
        <f>G10/G5</f>
        <v/>
      </c>
      <c r="H11" s="13">
        <f>H10/H5</f>
        <v/>
      </c>
      <c r="I11" s="13">
        <f>I10/I5</f>
        <v/>
      </c>
      <c r="J11" s="20">
        <f>J10/J5</f>
        <v/>
      </c>
      <c r="K11" s="4" t="n"/>
    </row>
    <row r="12" ht="6" customHeight="1">
      <c r="B12" s="21" t="n"/>
      <c r="C12" s="4" t="n"/>
      <c r="D12" s="4" t="n"/>
      <c r="E12" s="4" t="n"/>
      <c r="F12" s="4" t="n"/>
      <c r="G12" s="4" t="n"/>
      <c r="H12" s="4" t="n"/>
      <c r="I12" s="4" t="n"/>
      <c r="J12" s="22" t="n"/>
      <c r="K12" s="4" t="n"/>
    </row>
    <row r="13" ht="18" customHeight="1">
      <c r="B13" s="19" t="inlineStr">
        <is>
          <t xml:space="preserve">  D&amp;A</t>
        </is>
      </c>
      <c r="C13" s="236">
        <f>ROUND(-C5*Inputs!$C$21,0)</f>
        <v/>
      </c>
      <c r="D13" s="236">
        <f>ROUND(-D5*Inputs!$C$21,0)</f>
        <v/>
      </c>
      <c r="E13" s="236">
        <f>ROUND(-E5*Inputs!$C$21,0)</f>
        <v/>
      </c>
      <c r="F13" s="236">
        <f>ROUND(-F5*Inputs!$C$21,0)</f>
        <v/>
      </c>
      <c r="G13" s="236">
        <f>ROUND(-G5*Inputs!$C$21,0)</f>
        <v/>
      </c>
      <c r="H13" s="236">
        <f>ROUND(-H5*Inputs!$C$21,0)</f>
        <v/>
      </c>
      <c r="I13" s="236">
        <f>ROUND(-I5*Inputs!$C$21,0)</f>
        <v/>
      </c>
      <c r="J13" s="237">
        <f>ROUND(-J5*Inputs!$C$21,0)</f>
        <v/>
      </c>
      <c r="K13" s="4" t="n"/>
    </row>
    <row r="14" ht="18" customHeight="1">
      <c r="B14" s="199" t="inlineStr">
        <is>
          <t>EBIT</t>
        </is>
      </c>
      <c r="C14" s="238">
        <f>C10+C13</f>
        <v/>
      </c>
      <c r="D14" s="238">
        <f>D10+D13</f>
        <v/>
      </c>
      <c r="E14" s="238">
        <f>E10+E13</f>
        <v/>
      </c>
      <c r="F14" s="238">
        <f>F10+F13</f>
        <v/>
      </c>
      <c r="G14" s="238">
        <f>G10+G13</f>
        <v/>
      </c>
      <c r="H14" s="238">
        <f>H10+H13</f>
        <v/>
      </c>
      <c r="I14" s="238">
        <f>I10+I13</f>
        <v/>
      </c>
      <c r="J14" s="239">
        <f>J10+J13</f>
        <v/>
      </c>
      <c r="K14" s="4" t="n"/>
    </row>
    <row r="15" ht="18" customHeight="1">
      <c r="B15" s="19" t="inlineStr">
        <is>
          <t xml:space="preserve">  Tax</t>
        </is>
      </c>
      <c r="C15" s="236">
        <f>ROUND(-MAX(0,C14)*Inputs!$C$18,0)</f>
        <v/>
      </c>
      <c r="D15" s="236">
        <f>ROUND(-MAX(0,D14)*Inputs!$C$18,0)</f>
        <v/>
      </c>
      <c r="E15" s="236">
        <f>ROUND(-MAX(0,E14)*Inputs!$C$18,0)</f>
        <v/>
      </c>
      <c r="F15" s="236">
        <f>ROUND(-MAX(0,F14)*Inputs!$C$18,0)</f>
        <v/>
      </c>
      <c r="G15" s="236">
        <f>ROUND(-MAX(0,G14)*Inputs!$C$18,0)</f>
        <v/>
      </c>
      <c r="H15" s="236">
        <f>ROUND(-MAX(0,H14)*Inputs!$C$18,0)</f>
        <v/>
      </c>
      <c r="I15" s="236">
        <f>ROUND(-MAX(0,I14)*Inputs!$C$18,0)</f>
        <v/>
      </c>
      <c r="J15" s="237">
        <f>ROUND(-MAX(0,J14)*Inputs!$C$18,0)</f>
        <v/>
      </c>
      <c r="K15" s="4" t="n"/>
    </row>
    <row r="16" ht="18" customHeight="1">
      <c r="B16" s="65" t="inlineStr">
        <is>
          <t>NOPAT</t>
        </is>
      </c>
      <c r="C16" s="240">
        <f>C14+C15</f>
        <v/>
      </c>
      <c r="D16" s="240">
        <f>D14+D15</f>
        <v/>
      </c>
      <c r="E16" s="240">
        <f>E14+E15</f>
        <v/>
      </c>
      <c r="F16" s="240">
        <f>F14+F15</f>
        <v/>
      </c>
      <c r="G16" s="240">
        <f>G14+G15</f>
        <v/>
      </c>
      <c r="H16" s="240">
        <f>H14+H15</f>
        <v/>
      </c>
      <c r="I16" s="240">
        <f>I14+I15</f>
        <v/>
      </c>
      <c r="J16" s="241">
        <f>J14+J15</f>
        <v/>
      </c>
      <c r="K16" s="4" t="n"/>
    </row>
    <row r="17" ht="7.5" customHeight="1">
      <c r="B17" s="68" t="n"/>
      <c r="C17" s="69" t="n"/>
      <c r="D17" s="69" t="n"/>
      <c r="E17" s="69" t="n"/>
      <c r="F17" s="69" t="n"/>
      <c r="G17" s="69" t="n"/>
      <c r="H17" s="69" t="n"/>
      <c r="I17" s="69" t="n"/>
      <c r="J17" s="70" t="n"/>
      <c r="K17" s="4" t="n"/>
    </row>
    <row r="18" ht="15" customHeight="1">
      <c r="B18" s="242" t="inlineStr">
        <is>
          <t>FREE CASH FLOW BRIDGE  (Unlevered)</t>
        </is>
      </c>
      <c r="J18" s="34" t="n"/>
      <c r="K18" s="4" t="n"/>
    </row>
    <row r="19" ht="21.75" customHeight="1">
      <c r="B19" s="26" t="n"/>
      <c r="C19" s="15" t="inlineStr">
        <is>
          <t xml:space="preserve">FY2022
</t>
        </is>
      </c>
      <c r="D19" s="15" t="inlineStr">
        <is>
          <t>FY2023</t>
        </is>
      </c>
      <c r="E19" s="15" t="inlineStr">
        <is>
          <t>FY2024</t>
        </is>
      </c>
      <c r="F19" s="14" t="inlineStr">
        <is>
          <t>FY2025E</t>
        </is>
      </c>
      <c r="G19" s="14" t="inlineStr">
        <is>
          <t>FY2026E</t>
        </is>
      </c>
      <c r="H19" s="14" t="inlineStr">
        <is>
          <t>FY2027E</t>
        </is>
      </c>
      <c r="I19" s="14" t="inlineStr">
        <is>
          <t>FY2028E</t>
        </is>
      </c>
      <c r="J19" s="27" t="inlineStr">
        <is>
          <t>FY2029E</t>
        </is>
      </c>
      <c r="K19" s="4" t="n"/>
    </row>
    <row r="20" ht="18" customHeight="1">
      <c r="B20" s="19" t="inlineStr">
        <is>
          <t xml:space="preserve">  Add back D&amp;A</t>
        </is>
      </c>
      <c r="C20" s="236">
        <f>-C13</f>
        <v/>
      </c>
      <c r="D20" s="236">
        <f>-D13</f>
        <v/>
      </c>
      <c r="E20" s="236">
        <f>-E13</f>
        <v/>
      </c>
      <c r="F20" s="236">
        <f>-F13</f>
        <v/>
      </c>
      <c r="G20" s="236">
        <f>-G13</f>
        <v/>
      </c>
      <c r="H20" s="236">
        <f>-H13</f>
        <v/>
      </c>
      <c r="I20" s="236">
        <f>-I13</f>
        <v/>
      </c>
      <c r="J20" s="237">
        <f>-J13</f>
        <v/>
      </c>
      <c r="K20" s="4" t="n"/>
    </row>
    <row r="21" ht="18" customHeight="1">
      <c r="B21" s="19" t="inlineStr">
        <is>
          <t xml:space="preserve">  Less: Capex</t>
        </is>
      </c>
      <c r="C21" s="236">
        <f>ROUND(-C5*Inputs!$C$22,0)</f>
        <v/>
      </c>
      <c r="D21" s="236">
        <f>ROUND(-D5*Inputs!$C$22,0)</f>
        <v/>
      </c>
      <c r="E21" s="236">
        <f>ROUND(-E5*Inputs!$C$22,0)</f>
        <v/>
      </c>
      <c r="F21" s="236">
        <f>ROUND(-F5*Inputs!$C$22,0)</f>
        <v/>
      </c>
      <c r="G21" s="236">
        <f>ROUND(-G5*Inputs!$C$22,0)</f>
        <v/>
      </c>
      <c r="H21" s="236">
        <f>ROUND(-H5*Inputs!$C$22,0)</f>
        <v/>
      </c>
      <c r="I21" s="236">
        <f>ROUND(-I5*Inputs!$C$22,0)</f>
        <v/>
      </c>
      <c r="J21" s="237">
        <f>ROUND(-J5*Inputs!$C$22,0)</f>
        <v/>
      </c>
      <c r="K21" s="4" t="n"/>
    </row>
    <row r="22" ht="18" customHeight="1">
      <c r="B22" s="19" t="inlineStr">
        <is>
          <t xml:space="preserve">  Less: Change in NWC</t>
        </is>
      </c>
      <c r="C22" s="236" t="n"/>
      <c r="D22" s="236">
        <f>ROUND(-(D5-C5)*Inputs!$C$23,0)</f>
        <v/>
      </c>
      <c r="E22" s="236">
        <f>ROUND(-(E5-D5)*Inputs!$C$23,0)</f>
        <v/>
      </c>
      <c r="F22" s="236">
        <f>ROUND(-(F5-E5)*Inputs!$C$23,0)</f>
        <v/>
      </c>
      <c r="G22" s="236">
        <f>ROUND(-(G5-F5)*Inputs!$C$23,0)</f>
        <v/>
      </c>
      <c r="H22" s="236">
        <f>ROUND(-(H5-G5)*Inputs!$C$23,0)</f>
        <v/>
      </c>
      <c r="I22" s="236">
        <f>ROUND(-(I5-H5)*Inputs!$C$23,0)</f>
        <v/>
      </c>
      <c r="J22" s="237">
        <f>ROUND(-(J5-I5)*Inputs!$C$23,0)</f>
        <v/>
      </c>
      <c r="K22" s="4" t="n"/>
    </row>
    <row r="23" ht="21.75" customHeight="1">
      <c r="B23" s="71" t="inlineStr">
        <is>
          <t>UNLEVERED FREE CASH FLOW</t>
        </is>
      </c>
      <c r="C23" s="72" t="n"/>
      <c r="D23" s="243">
        <f>SUM(D16:D22)</f>
        <v/>
      </c>
      <c r="E23" s="243">
        <f>SUM(E16:E22)</f>
        <v/>
      </c>
      <c r="F23" s="243">
        <f>SUM(F16:F22)</f>
        <v/>
      </c>
      <c r="G23" s="243">
        <f>SUM(G16:G22)</f>
        <v/>
      </c>
      <c r="H23" s="243">
        <f>SUM(H16:H22)</f>
        <v/>
      </c>
      <c r="I23" s="243">
        <f>SUM(I16:I22)</f>
        <v/>
      </c>
      <c r="J23" s="244">
        <f>SUM(J16:J22)</f>
        <v/>
      </c>
      <c r="K23" s="4" t="n"/>
    </row>
  </sheetData>
  <mergeCells count="3">
    <mergeCell ref="B18:J18"/>
    <mergeCell ref="B1:J1"/>
    <mergeCell ref="B2:J2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E24"/>
  <sheetViews>
    <sheetView showGridLines="0" zoomScaleNormal="100" workbookViewId="0">
      <selection activeCell="B3" sqref="B3:D3"/>
    </sheetView>
  </sheetViews>
  <sheetFormatPr baseColWidth="10" defaultColWidth="8.6640625" defaultRowHeight="15"/>
  <cols>
    <col width="3" customWidth="1" min="1" max="1"/>
    <col width="38" customWidth="1" min="2" max="2"/>
    <col width="18" customWidth="1" min="3" max="3"/>
    <col width="30" customWidth="1" min="4" max="4"/>
    <col width="3" customWidth="1" min="5" max="5"/>
  </cols>
  <sheetData>
    <row r="1" ht="30" customHeight="1">
      <c r="B1" s="180" t="inlineStr">
        <is>
          <t>WACC CALCULATION  -  BioFresh SAS</t>
        </is>
      </c>
    </row>
    <row r="3" ht="15" customHeight="1">
      <c r="B3" s="174" t="inlineStr">
        <is>
          <t>STEP 1  -  Cost of Equity  (CAPM)</t>
        </is>
      </c>
      <c r="C3" s="226" t="n"/>
      <c r="D3" s="226" t="n"/>
      <c r="E3" s="30" t="n"/>
    </row>
    <row r="4" ht="19.5" customHeight="1">
      <c r="B4" s="31" t="inlineStr">
        <is>
          <t xml:space="preserve">Risk-Free Rate  </t>
        </is>
      </c>
      <c r="C4" s="32">
        <f>Inputs!$C$45</f>
        <v/>
      </c>
      <c r="D4" s="33" t="inlineStr">
        <is>
          <t>10Y OAT - Banque de France</t>
        </is>
      </c>
      <c r="E4" s="34" t="n"/>
    </row>
    <row r="5" ht="19.5" customHeight="1">
      <c r="B5" s="31" t="inlineStr">
        <is>
          <t xml:space="preserve">Equity Beta  </t>
        </is>
      </c>
      <c r="C5" s="35">
        <f>Inputs!$C$46</f>
        <v/>
      </c>
      <c r="D5" s="33" t="inlineStr">
        <is>
          <t xml:space="preserve">  Damodaran</t>
        </is>
      </c>
      <c r="E5" s="34" t="n"/>
    </row>
    <row r="6" ht="19.5" customHeight="1">
      <c r="B6" s="31" t="inlineStr">
        <is>
          <t>Equity Risk Premium  (ERP)</t>
        </is>
      </c>
      <c r="C6" s="32">
        <f>Inputs!$C$47</f>
        <v/>
      </c>
      <c r="D6" s="33" t="inlineStr">
        <is>
          <t>Damodaran</t>
        </is>
      </c>
      <c r="E6" s="34" t="n"/>
    </row>
    <row r="7" ht="21.75" customHeight="1">
      <c r="B7" s="31" t="inlineStr">
        <is>
          <t xml:space="preserve">Cost of Equity  </t>
        </is>
      </c>
      <c r="C7" s="32">
        <f>C4+C5*C6</f>
        <v/>
      </c>
      <c r="D7" s="33" t="n"/>
      <c r="E7" s="34" t="n"/>
    </row>
    <row r="8" ht="6" customHeight="1">
      <c r="B8" s="21" t="n"/>
      <c r="C8" s="4" t="n"/>
      <c r="D8" s="4" t="n"/>
      <c r="E8" s="34" t="n"/>
    </row>
    <row r="9" ht="15" customHeight="1">
      <c r="B9" s="165" t="inlineStr">
        <is>
          <t>STEP 2  -  After-Tax Cost of Debt</t>
        </is>
      </c>
      <c r="E9" s="34" t="n"/>
    </row>
    <row r="10" ht="19.5" customHeight="1">
      <c r="B10" s="31" t="inlineStr">
        <is>
          <t xml:space="preserve">Pre-Tax Cost of Debt  </t>
        </is>
      </c>
      <c r="C10" s="32">
        <f>Inputs!$C$48</f>
        <v/>
      </c>
      <c r="D10" s="4" t="n"/>
      <c r="E10" s="34" t="n"/>
    </row>
    <row r="11" ht="19.5" customHeight="1">
      <c r="B11" s="31" t="inlineStr">
        <is>
          <t>Tax Rate</t>
        </is>
      </c>
      <c r="C11" s="32">
        <f>Inputs!$C$18</f>
        <v/>
      </c>
      <c r="D11" s="4" t="n"/>
      <c r="E11" s="34" t="n"/>
    </row>
    <row r="12" ht="21.75" customHeight="1">
      <c r="B12" s="31" t="inlineStr">
        <is>
          <t>After-Tax Cost of Debt</t>
        </is>
      </c>
      <c r="C12" s="32">
        <f>C10*(1-C11)</f>
        <v/>
      </c>
      <c r="D12" s="33" t="n"/>
      <c r="E12" s="34" t="n"/>
    </row>
    <row r="13" ht="6" customHeight="1">
      <c r="B13" s="21" t="n"/>
      <c r="C13" s="4" t="n"/>
      <c r="D13" s="4" t="n"/>
      <c r="E13" s="34" t="n"/>
    </row>
    <row r="14" ht="15" customHeight="1">
      <c r="B14" s="165" t="inlineStr">
        <is>
          <t>STEP 3  -  WACC</t>
        </is>
      </c>
      <c r="E14" s="34" t="n"/>
    </row>
    <row r="15" ht="19.5" customHeight="1">
      <c r="B15" s="31" t="inlineStr">
        <is>
          <t>Equity Weight  (We)</t>
        </is>
      </c>
      <c r="C15" s="32">
        <f>Inputs!$C$50</f>
        <v/>
      </c>
      <c r="D15" s="4" t="n"/>
      <c r="E15" s="34" t="n"/>
    </row>
    <row r="16" ht="19.5" customHeight="1">
      <c r="B16" s="31" t="inlineStr">
        <is>
          <t>Debt Weight  (Wd)</t>
        </is>
      </c>
      <c r="C16" s="32">
        <f>Inputs!$C$49</f>
        <v/>
      </c>
      <c r="D16" s="4" t="n"/>
      <c r="E16" s="34" t="n"/>
    </row>
    <row r="17" ht="21.75" customHeight="1">
      <c r="B17" s="36" t="inlineStr">
        <is>
          <t>WACC</t>
        </is>
      </c>
      <c r="C17" s="37">
        <f>C15*C7+C16*C12</f>
        <v/>
      </c>
      <c r="D17" s="38" t="n"/>
      <c r="E17" s="39" t="n"/>
    </row>
    <row r="18">
      <c r="B18" s="4" t="n"/>
      <c r="C18" s="4" t="n"/>
      <c r="D18" s="4" t="n"/>
    </row>
    <row r="19">
      <c r="B19" s="4" t="n"/>
      <c r="C19" s="4" t="n"/>
      <c r="D19" s="4" t="n"/>
    </row>
    <row r="20">
      <c r="B20" s="4" t="n"/>
      <c r="C20" s="4" t="n"/>
      <c r="D20" s="4" t="n"/>
    </row>
    <row r="21">
      <c r="B21" s="4" t="n"/>
      <c r="C21" s="4" t="n"/>
      <c r="D21" s="4" t="n"/>
    </row>
    <row r="22">
      <c r="B22" s="4" t="n"/>
      <c r="C22" s="4" t="n"/>
      <c r="D22" s="4" t="n"/>
    </row>
    <row r="23">
      <c r="B23" s="4" t="n"/>
      <c r="C23" s="4" t="n"/>
      <c r="D23" s="4" t="n"/>
    </row>
    <row r="24">
      <c r="B24" s="4" t="n"/>
      <c r="C24" s="4" t="n"/>
      <c r="D24" s="4" t="n"/>
    </row>
  </sheetData>
  <mergeCells count="4">
    <mergeCell ref="B9:D9"/>
    <mergeCell ref="B1:D1"/>
    <mergeCell ref="B14:D14"/>
    <mergeCell ref="B3:D3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H26"/>
  <sheetViews>
    <sheetView showGridLines="0" zoomScaleNormal="100" workbookViewId="0">
      <selection activeCell="B1" sqref="B1:H1"/>
    </sheetView>
  </sheetViews>
  <sheetFormatPr baseColWidth="10" defaultColWidth="8.6640625" defaultRowHeight="15"/>
  <cols>
    <col width="3" customWidth="1" min="1" max="1"/>
    <col width="32" customWidth="1" min="2" max="2"/>
    <col width="13" customWidth="1" min="3" max="7"/>
    <col width="3" customWidth="1" min="8" max="8"/>
  </cols>
  <sheetData>
    <row r="1" ht="30" customHeight="1">
      <c r="B1" s="180" t="inlineStr">
        <is>
          <t xml:space="preserve">DCF VALUATION  -  BioFresh SAS   </t>
        </is>
      </c>
    </row>
    <row r="2" ht="12" customHeight="1">
      <c r="B2" s="181" t="n"/>
    </row>
    <row r="4" ht="21.75" customHeight="1">
      <c r="B4" s="40" t="n"/>
      <c r="C4" s="41" t="inlineStr">
        <is>
          <t>FY2025E</t>
        </is>
      </c>
      <c r="D4" s="41" t="inlineStr">
        <is>
          <t>FY2026E</t>
        </is>
      </c>
      <c r="E4" s="41" t="inlineStr">
        <is>
          <t>FY2027E</t>
        </is>
      </c>
      <c r="F4" s="41" t="inlineStr">
        <is>
          <t>FY2028E</t>
        </is>
      </c>
      <c r="G4" s="41" t="inlineStr">
        <is>
          <t>FY2029E</t>
        </is>
      </c>
      <c r="H4" s="42" t="n"/>
    </row>
    <row r="5" ht="19.5" customHeight="1">
      <c r="B5" s="199" t="inlineStr">
        <is>
          <t xml:space="preserve">Unlevered FCF  </t>
        </is>
      </c>
      <c r="C5" s="238">
        <f>'P&amp;L'!F23</f>
        <v/>
      </c>
      <c r="D5" s="238">
        <f>'P&amp;L'!G23</f>
        <v/>
      </c>
      <c r="E5" s="238">
        <f>'P&amp;L'!H23</f>
        <v/>
      </c>
      <c r="F5" s="238">
        <f>'P&amp;L'!I23</f>
        <v/>
      </c>
      <c r="G5" s="238">
        <f>'P&amp;L'!J23</f>
        <v/>
      </c>
      <c r="H5" s="22" t="n"/>
    </row>
    <row r="6" ht="19.5" customHeight="1">
      <c r="B6" s="19" t="inlineStr">
        <is>
          <t xml:space="preserve">PV Factor  </t>
        </is>
      </c>
      <c r="C6" s="245">
        <f>1/(1+WACC!$C$17)^1</f>
        <v/>
      </c>
      <c r="D6" s="245">
        <f>1/(1+WACC!$C$17)^2</f>
        <v/>
      </c>
      <c r="E6" s="245">
        <f>1/(1+WACC!$C$17)^3</f>
        <v/>
      </c>
      <c r="F6" s="245">
        <f>1/(1+WACC!$C$17)^4</f>
        <v/>
      </c>
      <c r="G6" s="245">
        <f>1/(1+WACC!$C$17)^5</f>
        <v/>
      </c>
      <c r="H6" s="22" t="n"/>
    </row>
    <row r="7" ht="16.5" customHeight="1">
      <c r="B7" s="76" t="inlineStr">
        <is>
          <t>PV of FCF</t>
        </is>
      </c>
      <c r="C7" s="246">
        <f>C5*C6</f>
        <v/>
      </c>
      <c r="D7" s="246">
        <f>D5*D6</f>
        <v/>
      </c>
      <c r="E7" s="246">
        <f>E5*E6</f>
        <v/>
      </c>
      <c r="F7" s="246">
        <f>F5*F6</f>
        <v/>
      </c>
      <c r="G7" s="246">
        <f>G5*G6</f>
        <v/>
      </c>
      <c r="H7" s="78" t="n"/>
    </row>
    <row r="8">
      <c r="B8" s="21" t="n"/>
      <c r="C8" s="4" t="n"/>
      <c r="D8" s="4" t="n"/>
      <c r="E8" s="4" t="n"/>
      <c r="F8" s="4" t="n"/>
      <c r="G8" s="4" t="n"/>
      <c r="H8" s="22" t="n"/>
    </row>
    <row r="9" ht="15" customHeight="1">
      <c r="B9" s="247" t="inlineStr">
        <is>
          <t>ENTERPRISE VALUE BRIDGE  (BASE CASE)</t>
        </is>
      </c>
      <c r="C9" s="226" t="n"/>
      <c r="D9" s="226" t="n"/>
      <c r="E9" s="226" t="n"/>
      <c r="F9" s="226" t="n"/>
      <c r="G9" s="226" t="n"/>
      <c r="H9" s="30" t="n"/>
    </row>
    <row r="10" ht="21.75" customHeight="1">
      <c r="B10" s="19" t="inlineStr">
        <is>
          <t>Sum of PV(FCF)</t>
        </is>
      </c>
      <c r="C10" s="236">
        <f>SUM(C7:G7)</f>
        <v/>
      </c>
      <c r="H10" s="22" t="n"/>
    </row>
    <row r="11" ht="21.75" customHeight="1">
      <c r="B11" s="19" t="inlineStr">
        <is>
          <t>Terminal FCF  (FY2030E)</t>
        </is>
      </c>
      <c r="C11" s="236">
        <f>G5*(1+Inputs!$C$24)</f>
        <v/>
      </c>
      <c r="H11" s="22" t="n"/>
    </row>
    <row r="12" ht="21.75" customHeight="1">
      <c r="B12" s="19" t="inlineStr">
        <is>
          <t>Terminal Value  (Gordon Growth)</t>
        </is>
      </c>
      <c r="C12" s="236">
        <f>C11/(WACC!$C$17-Inputs!$C$24)</f>
        <v/>
      </c>
      <c r="H12" s="22" t="n"/>
    </row>
    <row r="13" ht="21.75" customHeight="1">
      <c r="B13" s="19" t="inlineStr">
        <is>
          <t>PV of Terminal Value</t>
        </is>
      </c>
      <c r="C13" s="236">
        <f>C12*G6</f>
        <v/>
      </c>
      <c r="H13" s="22" t="n"/>
    </row>
    <row r="14" ht="6" customHeight="1">
      <c r="B14" s="21" t="n"/>
      <c r="C14" s="4" t="n"/>
      <c r="D14" s="4" t="n"/>
      <c r="E14" s="4" t="n"/>
      <c r="F14" s="4" t="n"/>
      <c r="G14" s="4" t="n"/>
      <c r="H14" s="22" t="n"/>
    </row>
    <row r="15" ht="21.75" customHeight="1">
      <c r="B15" s="199" t="inlineStr">
        <is>
          <t>ENTERPRISE VALUE  (DCF)</t>
        </is>
      </c>
      <c r="C15" s="238">
        <f>C10+C13</f>
        <v/>
      </c>
      <c r="H15" s="22" t="n"/>
    </row>
    <row r="16" ht="21.75" customHeight="1">
      <c r="B16" s="19" t="inlineStr">
        <is>
          <t xml:space="preserve">  Less: Net Financial Debt</t>
        </is>
      </c>
      <c r="C16" s="236">
        <f>-Inputs!$C$9</f>
        <v/>
      </c>
      <c r="H16" s="22" t="n"/>
    </row>
    <row r="17" ht="21.75" customHeight="1">
      <c r="B17" s="76" t="inlineStr">
        <is>
          <t>EQUITY VALUE  (DCF)</t>
        </is>
      </c>
      <c r="C17" s="246">
        <f>C15+C16</f>
        <v/>
      </c>
      <c r="D17" s="248" t="n"/>
      <c r="E17" s="248" t="n"/>
      <c r="F17" s="248" t="n"/>
      <c r="G17" s="248" t="n"/>
      <c r="H17" s="78" t="n"/>
    </row>
    <row r="18" ht="7.5" customHeight="1">
      <c r="B18" s="21" t="n"/>
      <c r="C18" s="4" t="n"/>
      <c r="D18" s="4" t="n"/>
      <c r="E18" s="4" t="n"/>
      <c r="F18" s="4" t="n"/>
      <c r="G18" s="4" t="n"/>
      <c r="H18" s="22" t="n"/>
    </row>
    <row r="19" ht="15" customHeight="1">
      <c r="B19" s="249" t="inlineStr">
        <is>
          <t>NPV OF ACQUISITION  (All Three Scenarios)</t>
        </is>
      </c>
      <c r="H19" s="34" t="n"/>
    </row>
    <row r="20" ht="19.5" customHeight="1">
      <c r="B20" s="26" t="inlineStr">
        <is>
          <t xml:space="preserve">Particular </t>
        </is>
      </c>
      <c r="C20" s="14" t="inlineStr">
        <is>
          <t>BEAR</t>
        </is>
      </c>
      <c r="D20" s="14" t="inlineStr">
        <is>
          <t>BASE</t>
        </is>
      </c>
      <c r="E20" s="14" t="inlineStr">
        <is>
          <t>BULL</t>
        </is>
      </c>
      <c r="F20" s="4" t="n"/>
      <c r="G20" s="4" t="n"/>
      <c r="H20" s="22" t="n"/>
    </row>
    <row r="21" ht="21.75" customHeight="1">
      <c r="B21" s="19" t="inlineStr">
        <is>
          <t>DCF Enterprise Value</t>
        </is>
      </c>
      <c r="C21" s="236">
        <f>Scenarios!$C$22</f>
        <v/>
      </c>
      <c r="D21" s="236">
        <f>Scenarios!$C$52</f>
        <v/>
      </c>
      <c r="E21" s="236">
        <f>Scenarios!$C$82</f>
        <v/>
      </c>
      <c r="F21" s="4" t="n"/>
      <c r="G21" s="4" t="n"/>
      <c r="H21" s="22" t="n"/>
    </row>
    <row r="22" ht="21.75" customHeight="1">
      <c r="B22" s="19" t="inlineStr">
        <is>
          <t xml:space="preserve">Less: Entry EV  </t>
        </is>
      </c>
      <c r="C22" s="236">
        <f>-Inputs!$C$36</f>
        <v/>
      </c>
      <c r="D22" s="236">
        <f>-Inputs!$C$36</f>
        <v/>
      </c>
      <c r="E22" s="236">
        <f>-Inputs!$C$36</f>
        <v/>
      </c>
      <c r="F22" s="4" t="n"/>
      <c r="G22" s="4" t="n"/>
      <c r="H22" s="22" t="n"/>
    </row>
    <row r="23" ht="21.75" customHeight="1">
      <c r="B23" s="76" t="inlineStr">
        <is>
          <t xml:space="preserve">NPV of Acquisition  </t>
        </is>
      </c>
      <c r="C23" s="246">
        <f>Scenarios!$C$23</f>
        <v/>
      </c>
      <c r="D23" s="246">
        <f>Scenarios!$C$53</f>
        <v/>
      </c>
      <c r="E23" s="246">
        <f>Scenarios!$C$83</f>
        <v/>
      </c>
      <c r="F23" s="80" t="n"/>
      <c r="G23" s="80" t="n"/>
      <c r="H23" s="78" t="n"/>
    </row>
    <row r="24" ht="21.75" customHeight="1">
      <c r="B24" s="19" t="inlineStr">
        <is>
          <t>DCF Implied EV/EBITDA</t>
        </is>
      </c>
      <c r="C24" s="250">
        <f>ROUND(Scenarios!$C$22/(Inputs!$C$5*(1+Inputs!$C$27)^5*Inputs!$C$28),1)</f>
        <v/>
      </c>
      <c r="D24" s="250">
        <f>ROUND(Scenarios!$C$52/('P&amp;L'!J10),1)</f>
        <v/>
      </c>
      <c r="E24" s="250">
        <f>ROUND(Scenarios!$C$82/(Inputs!$C$5*(1+Inputs!$C$32)^5*Inputs!$C$33),1)</f>
        <v/>
      </c>
      <c r="F24" s="4" t="n"/>
      <c r="G24" s="4" t="n"/>
      <c r="H24" s="22" t="n"/>
    </row>
    <row r="25" ht="21.75" customHeight="1">
      <c r="B25" s="76" t="inlineStr">
        <is>
          <t>LBO IRR  (Yr 5 exit at 12x)</t>
        </is>
      </c>
      <c r="C25" s="82">
        <f>Scenarios!$C$32</f>
        <v/>
      </c>
      <c r="D25" s="82">
        <f>Scenarios!$C$62</f>
        <v/>
      </c>
      <c r="E25" s="82">
        <f>Scenarios!$C$92</f>
        <v/>
      </c>
      <c r="F25" s="80" t="n"/>
      <c r="G25" s="80" t="n"/>
      <c r="H25" s="78" t="n"/>
    </row>
    <row r="26" ht="21.75" customHeight="1">
      <c r="B26" s="48" t="inlineStr">
        <is>
          <t>LBO MOIC</t>
        </is>
      </c>
      <c r="C26" s="251">
        <f>Scenarios!$C$31</f>
        <v/>
      </c>
      <c r="D26" s="251">
        <f>Scenarios!$C$61</f>
        <v/>
      </c>
      <c r="E26" s="251">
        <f>Scenarios!$C$91</f>
        <v/>
      </c>
      <c r="F26" s="45" t="n"/>
      <c r="G26" s="45" t="n"/>
      <c r="H26" s="46" t="n"/>
    </row>
  </sheetData>
  <mergeCells count="11">
    <mergeCell ref="B2:G2"/>
    <mergeCell ref="C12:G12"/>
    <mergeCell ref="B9:H9"/>
    <mergeCell ref="B1:H1"/>
    <mergeCell ref="C10:G10"/>
    <mergeCell ref="C16:G16"/>
    <mergeCell ref="C15:G15"/>
    <mergeCell ref="C11:G11"/>
    <mergeCell ref="C13:G13"/>
    <mergeCell ref="B19:H19"/>
    <mergeCell ref="C17:G17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3"/>
  <sheetViews>
    <sheetView showGridLines="0" topLeftCell="A10" zoomScaleNormal="100" workbookViewId="0">
      <selection activeCell="B64" sqref="B64:H64"/>
    </sheetView>
  </sheetViews>
  <sheetFormatPr baseColWidth="10" defaultColWidth="8.6640625" defaultRowHeight="15"/>
  <cols>
    <col width="3" customWidth="1" min="1" max="1"/>
    <col width="40.1640625" customWidth="1" min="2" max="2"/>
    <col width="13" customWidth="1" min="3" max="7"/>
    <col width="3" customWidth="1" min="8" max="8"/>
    <col width="30" customWidth="1" min="9" max="9"/>
  </cols>
  <sheetData>
    <row r="1" ht="30" customHeight="1">
      <c r="B1" s="194" t="inlineStr">
        <is>
          <t xml:space="preserve">SCENARIO ANALYSIS    </t>
        </is>
      </c>
    </row>
    <row r="2" ht="13.5" customHeight="1">
      <c r="B2" s="195" t="n"/>
    </row>
    <row r="4" ht="24" customHeight="1">
      <c r="B4" s="252" t="inlineStr">
        <is>
          <t xml:space="preserve">BEAR SCENARIO   -   Growth 3% p.a. | EBITDA Margin 13.0% </t>
        </is>
      </c>
      <c r="C4" s="226" t="n"/>
      <c r="D4" s="226" t="n"/>
      <c r="E4" s="226" t="n"/>
      <c r="F4" s="226" t="n"/>
      <c r="G4" s="226" t="n"/>
      <c r="H4" s="30" t="n"/>
    </row>
    <row r="5" ht="19.5" customHeight="1">
      <c r="B5" s="26" t="n"/>
      <c r="C5" s="14" t="inlineStr">
        <is>
          <t>FY2025E</t>
        </is>
      </c>
      <c r="D5" s="14" t="inlineStr">
        <is>
          <t>FY2026E</t>
        </is>
      </c>
      <c r="E5" s="14" t="inlineStr">
        <is>
          <t>FY2027E</t>
        </is>
      </c>
      <c r="F5" s="14" t="inlineStr">
        <is>
          <t>FY2028E</t>
        </is>
      </c>
      <c r="G5" s="14" t="inlineStr">
        <is>
          <t>FY2029E</t>
        </is>
      </c>
      <c r="H5" s="22" t="n"/>
    </row>
    <row r="6" ht="19.5" customHeight="1">
      <c r="B6" s="55" t="inlineStr">
        <is>
          <t>Revenue</t>
        </is>
      </c>
      <c r="C6" s="253">
        <f>ROUND(Inputs!$C$5*(1+Inputs!$C$27)^1,0)</f>
        <v/>
      </c>
      <c r="D6" s="253">
        <f>ROUND(Inputs!$C$5*(1+Inputs!$C$27)^2,0)</f>
        <v/>
      </c>
      <c r="E6" s="253">
        <f>ROUND(Inputs!$C$5*(1+Inputs!$C$27)^3,0)</f>
        <v/>
      </c>
      <c r="F6" s="253">
        <f>ROUND(Inputs!$C$5*(1+Inputs!$C$27)^4,0)</f>
        <v/>
      </c>
      <c r="G6" s="253">
        <f>ROUND(Inputs!$C$5*(1+Inputs!$C$27)^5,0)</f>
        <v/>
      </c>
      <c r="H6" s="56" t="n"/>
    </row>
    <row r="7" ht="19.5" customHeight="1">
      <c r="B7" s="19" t="inlineStr">
        <is>
          <t xml:space="preserve">  EBITDA</t>
        </is>
      </c>
      <c r="C7" s="236">
        <f>ROUND(C6*Inputs!$C$28,0+I10)</f>
        <v/>
      </c>
      <c r="D7" s="236">
        <f>ROUND(D6*Inputs!$C$28,0)</f>
        <v/>
      </c>
      <c r="E7" s="236">
        <f>ROUND(E6*Inputs!$C$28,0)</f>
        <v/>
      </c>
      <c r="F7" s="236">
        <f>ROUND(F6*Inputs!$C$28,0)</f>
        <v/>
      </c>
      <c r="G7" s="236">
        <f>ROUND(G6*Inputs!$C$28,0)</f>
        <v/>
      </c>
      <c r="H7" s="22" t="n"/>
    </row>
    <row r="8" ht="19.5" customHeight="1">
      <c r="B8" s="19" t="inlineStr">
        <is>
          <t xml:space="preserve">  D&amp;A  </t>
        </is>
      </c>
      <c r="C8" s="236">
        <f>ROUND(C6*Inputs!$C$21,0)</f>
        <v/>
      </c>
      <c r="D8" s="236">
        <f>ROUND(D6*Inputs!$C$21,0)</f>
        <v/>
      </c>
      <c r="E8" s="236">
        <f>ROUND(E6*Inputs!$C$21,0)</f>
        <v/>
      </c>
      <c r="F8" s="236">
        <f>ROUND(F6*Inputs!$C$21,0)</f>
        <v/>
      </c>
      <c r="G8" s="236">
        <f>ROUND(G6*Inputs!$C$21,0)</f>
        <v/>
      </c>
      <c r="H8" s="22" t="n"/>
    </row>
    <row r="9" ht="19.5" customHeight="1">
      <c r="B9" s="19" t="inlineStr">
        <is>
          <t xml:space="preserve">  EBIT</t>
        </is>
      </c>
      <c r="C9" s="236">
        <f>C7-C8</f>
        <v/>
      </c>
      <c r="D9" s="236">
        <f>D7-D8</f>
        <v/>
      </c>
      <c r="E9" s="236">
        <f>E7-E8</f>
        <v/>
      </c>
      <c r="F9" s="236">
        <f>F7-F8</f>
        <v/>
      </c>
      <c r="G9" s="236">
        <f>G7-G8</f>
        <v/>
      </c>
      <c r="H9" s="22" t="n"/>
    </row>
    <row r="10" ht="19.5" customHeight="1">
      <c r="B10" s="55" t="inlineStr">
        <is>
          <t xml:space="preserve">  NOPAT  </t>
        </is>
      </c>
      <c r="C10" s="253">
        <f>ROUND(C9*(1-Inputs!$C$18),0)</f>
        <v/>
      </c>
      <c r="D10" s="253">
        <f>ROUND(D9*(1-Inputs!$C$18),0)</f>
        <v/>
      </c>
      <c r="E10" s="253">
        <f>ROUND(E9*(1-Inputs!$C$18),0)</f>
        <v/>
      </c>
      <c r="F10" s="253">
        <f>ROUND(F9*(1-Inputs!$C$18),0)</f>
        <v/>
      </c>
      <c r="G10" s="253">
        <f>ROUND(G9*(1-Inputs!$C$18),0)</f>
        <v/>
      </c>
      <c r="H10" s="56" t="n"/>
    </row>
    <row r="11" ht="19.5" customHeight="1">
      <c r="B11" s="19" t="inlineStr">
        <is>
          <t xml:space="preserve">  Less: Capex</t>
        </is>
      </c>
      <c r="C11" s="236">
        <f>ROUND(C6*Inputs!$C$22,0)</f>
        <v/>
      </c>
      <c r="D11" s="236">
        <f>ROUND(D6*Inputs!$C$22,0)</f>
        <v/>
      </c>
      <c r="E11" s="236">
        <f>ROUND(E6*Inputs!$C$22,0)</f>
        <v/>
      </c>
      <c r="F11" s="236">
        <f>ROUND(F6*Inputs!$C$22,0)</f>
        <v/>
      </c>
      <c r="G11" s="236">
        <f>ROUND(G6*Inputs!$C$22,0)</f>
        <v/>
      </c>
      <c r="H11" s="22" t="n"/>
    </row>
    <row r="12" ht="19.5" customHeight="1">
      <c r="B12" s="19" t="inlineStr">
        <is>
          <t xml:space="preserve">  Less: Increase in NWC</t>
        </is>
      </c>
      <c r="C12" s="236">
        <f>ROUND((C6-Inputs!$C$5)*Inputs!$C$23,0)</f>
        <v/>
      </c>
      <c r="D12" s="236">
        <f>ROUND((D6-Inputs!$C$5*(1+Inputs!$C$27)^1)*Inputs!$C$23,0)</f>
        <v/>
      </c>
      <c r="E12" s="236">
        <f>ROUND((E6-Inputs!$C$5*(1+Inputs!$C$27)^2)*Inputs!$C$23,0)</f>
        <v/>
      </c>
      <c r="F12" s="236">
        <f>ROUND((F6-Inputs!$C$5*(1+Inputs!$C$27)^3)*Inputs!$C$23,0)</f>
        <v/>
      </c>
      <c r="G12" s="236">
        <f>ROUND((G6-Inputs!$C$5*(1+Inputs!$C$27)^4)*Inputs!$C$23,0)</f>
        <v/>
      </c>
      <c r="H12" s="22" t="n"/>
    </row>
    <row r="13" ht="21.75" customHeight="1">
      <c r="B13" s="55" t="inlineStr">
        <is>
          <t>UNLEVERED FREE CASH FLOW</t>
        </is>
      </c>
      <c r="C13" s="253">
        <f>C10+C8-C11-C12</f>
        <v/>
      </c>
      <c r="D13" s="253">
        <f>D10+D8-D11-D12</f>
        <v/>
      </c>
      <c r="E13" s="253">
        <f>E10+E8-E11-E12</f>
        <v/>
      </c>
      <c r="F13" s="253">
        <f>F10+F8-F11-F12</f>
        <v/>
      </c>
      <c r="G13" s="253">
        <f>G10+G8-G11-G12</f>
        <v/>
      </c>
      <c r="H13" s="56" t="n"/>
    </row>
    <row r="14" ht="18" customHeight="1">
      <c r="B14" s="59" t="inlineStr">
        <is>
          <t xml:space="preserve">  PV Factor  </t>
        </is>
      </c>
      <c r="C14" s="245">
        <f>1/(1+WACC!$C$17)^1</f>
        <v/>
      </c>
      <c r="D14" s="245">
        <f>1/(1+WACC!$C$17)^2</f>
        <v/>
      </c>
      <c r="E14" s="245">
        <f>1/(1+WACC!$C$17)^3</f>
        <v/>
      </c>
      <c r="F14" s="245">
        <f>1/(1+WACC!$C$17)^4</f>
        <v/>
      </c>
      <c r="G14" s="245">
        <f>1/(1+WACC!$C$17)^5</f>
        <v/>
      </c>
      <c r="H14" s="22" t="n"/>
    </row>
    <row r="15" ht="18" customHeight="1">
      <c r="B15" s="60" t="inlineStr">
        <is>
          <t xml:space="preserve">  PV of UFCF</t>
        </is>
      </c>
      <c r="C15" s="254">
        <f>ROUND(C13*C14,0)</f>
        <v/>
      </c>
      <c r="D15" s="254">
        <f>ROUND(D13*D14,0)</f>
        <v/>
      </c>
      <c r="E15" s="254">
        <f>ROUND(E13*E14,0)</f>
        <v/>
      </c>
      <c r="F15" s="254">
        <f>ROUND(F13*F14,0)</f>
        <v/>
      </c>
      <c r="G15" s="254">
        <f>ROUND(G13*G14,0)</f>
        <v/>
      </c>
      <c r="H15" s="54" t="n"/>
    </row>
    <row r="16" ht="6" customHeight="1">
      <c r="B16" s="44" t="n"/>
      <c r="C16" s="45" t="n"/>
      <c r="D16" s="45" t="n"/>
      <c r="E16" s="45" t="n"/>
      <c r="F16" s="45" t="n"/>
      <c r="G16" s="45" t="n"/>
      <c r="H16" s="46" t="n"/>
    </row>
    <row r="17">
      <c r="B17" s="255" t="inlineStr">
        <is>
          <t xml:space="preserve">BEAR </t>
        </is>
      </c>
      <c r="H17" s="34" t="n"/>
    </row>
    <row r="18" ht="19.5" customHeight="1">
      <c r="B18" s="19" t="inlineStr">
        <is>
          <t xml:space="preserve">Sum of PV </t>
        </is>
      </c>
      <c r="C18" s="236">
        <f>SUM(C15:G15)</f>
        <v/>
      </c>
      <c r="H18" s="22" t="n"/>
    </row>
    <row r="19" ht="19.5" customHeight="1">
      <c r="B19" s="19" t="inlineStr">
        <is>
          <t xml:space="preserve">Terminal FCF  </t>
        </is>
      </c>
      <c r="C19" s="236">
        <f>G13*(1+Inputs!$C$24)</f>
        <v/>
      </c>
      <c r="H19" s="22" t="n"/>
    </row>
    <row r="20" ht="19.5" customHeight="1">
      <c r="B20" s="19" t="inlineStr">
        <is>
          <t>Terminal Value  (Gordon Growth)</t>
        </is>
      </c>
      <c r="C20" s="236">
        <f>C19/(WACC!$C$17-Inputs!$C$24)</f>
        <v/>
      </c>
      <c r="H20" s="22" t="n"/>
    </row>
    <row r="21" ht="19.5" customHeight="1">
      <c r="B21" s="19" t="inlineStr">
        <is>
          <t>PV of Terminal Value</t>
        </is>
      </c>
      <c r="C21" s="236">
        <f>ROUND(C20*G14,0)</f>
        <v/>
      </c>
      <c r="H21" s="22" t="n"/>
    </row>
    <row r="22" ht="24" customHeight="1">
      <c r="B22" s="16" t="inlineStr">
        <is>
          <t>DCF ENTERPRISE VALUE</t>
        </is>
      </c>
      <c r="C22" s="234">
        <f>C18+C21</f>
        <v/>
      </c>
      <c r="D22" s="226" t="n"/>
      <c r="E22" s="226" t="n"/>
      <c r="F22" s="226" t="n"/>
      <c r="G22" s="226" t="n"/>
      <c r="H22" s="54" t="n"/>
    </row>
    <row r="23" ht="24" customHeight="1">
      <c r="B23" s="55" t="inlineStr">
        <is>
          <t xml:space="preserve">NPV OF ACQUISITION  </t>
        </is>
      </c>
      <c r="C23" s="253">
        <f>C22-Inputs!$C$36</f>
        <v/>
      </c>
      <c r="D23" s="248" t="n"/>
      <c r="E23" s="248" t="n"/>
      <c r="F23" s="248" t="n"/>
      <c r="G23" s="248" t="n"/>
      <c r="H23" s="56" t="n"/>
    </row>
    <row r="24" ht="6" customHeight="1">
      <c r="B24" s="21" t="n"/>
      <c r="C24" s="4" t="n"/>
      <c r="D24" s="4" t="n"/>
      <c r="E24" s="4" t="n"/>
      <c r="F24" s="4" t="n"/>
      <c r="G24" s="4" t="n"/>
      <c r="H24" s="22" t="n"/>
    </row>
    <row r="25">
      <c r="B25" s="255" t="inlineStr">
        <is>
          <t>BEAR - LBO RETURNS</t>
        </is>
      </c>
      <c r="H25" s="34" t="n"/>
    </row>
    <row r="26" ht="19.5" customHeight="1">
      <c r="B26" s="19" t="inlineStr">
        <is>
          <t xml:space="preserve">Exit EBITDA </t>
        </is>
      </c>
      <c r="C26" s="236">
        <f>G7</f>
        <v/>
      </c>
      <c r="H26" s="22" t="n"/>
    </row>
    <row r="27" ht="19.5" customHeight="1">
      <c r="B27" s="19" t="inlineStr">
        <is>
          <t xml:space="preserve">Exit EV </t>
        </is>
      </c>
      <c r="C27" s="236">
        <f>C26*Inputs!$C$42</f>
        <v/>
      </c>
      <c r="H27" s="22" t="n"/>
    </row>
    <row r="28" ht="19.5" customHeight="1">
      <c r="B28" s="19" t="inlineStr">
        <is>
          <t xml:space="preserve">Remaining Debt  </t>
        </is>
      </c>
      <c r="C28" s="236">
        <f>Inputs!$C$39-5*Inputs!$C$41</f>
        <v/>
      </c>
      <c r="H28" s="22" t="n"/>
    </row>
    <row r="29" ht="19.5" customHeight="1">
      <c r="B29" s="19" t="inlineStr">
        <is>
          <t>Exit Equity Value</t>
        </is>
      </c>
      <c r="C29" s="236">
        <f>C27-C28</f>
        <v/>
      </c>
      <c r="H29" s="22" t="n"/>
    </row>
    <row r="30" ht="19.5" customHeight="1">
      <c r="B30" s="19" t="inlineStr">
        <is>
          <t>Equity Invested</t>
        </is>
      </c>
      <c r="C30" s="236">
        <f>Inputs!$C$38</f>
        <v/>
      </c>
      <c r="H30" s="22" t="n"/>
    </row>
    <row r="31" ht="21.75" customHeight="1">
      <c r="B31" s="83" t="inlineStr">
        <is>
          <t>MOIC</t>
        </is>
      </c>
      <c r="C31" s="256">
        <f>C29/C30</f>
        <v/>
      </c>
      <c r="D31" s="248" t="n"/>
      <c r="E31" s="248" t="n"/>
      <c r="F31" s="248" t="n"/>
      <c r="G31" s="248" t="n"/>
      <c r="H31" s="84" t="n"/>
    </row>
    <row r="32" ht="24" customHeight="1">
      <c r="B32" s="85" t="inlineStr">
        <is>
          <t>IRR  (Exit Year 5)</t>
        </is>
      </c>
      <c r="C32" s="205">
        <f>(C29/C30)^(1/5)-1</f>
        <v/>
      </c>
      <c r="H32" s="86" t="n"/>
    </row>
    <row r="33" ht="7.5" customHeight="1">
      <c r="B33" s="87" t="n"/>
      <c r="C33" s="88" t="n"/>
      <c r="D33" s="88" t="n"/>
      <c r="E33" s="88" t="n"/>
      <c r="F33" s="88" t="n"/>
      <c r="G33" s="88" t="n"/>
      <c r="H33" s="89" t="n"/>
    </row>
    <row r="34" ht="24" customHeight="1">
      <c r="B34" s="252" t="inlineStr">
        <is>
          <t>BASE SCENARIO   -   Growth 8% p.a. | EBITDA Margin 14.5%</t>
        </is>
      </c>
      <c r="C34" s="226" t="n"/>
      <c r="D34" s="226" t="n"/>
      <c r="E34" s="226" t="n"/>
      <c r="F34" s="226" t="n"/>
      <c r="G34" s="226" t="n"/>
      <c r="H34" s="30" t="n"/>
    </row>
    <row r="35" ht="19.5" customHeight="1">
      <c r="B35" s="26" t="n"/>
      <c r="C35" s="14" t="inlineStr">
        <is>
          <t>FY2025E</t>
        </is>
      </c>
      <c r="D35" s="14" t="inlineStr">
        <is>
          <t>FY2026E</t>
        </is>
      </c>
      <c r="E35" s="14" t="inlineStr">
        <is>
          <t>FY2027E</t>
        </is>
      </c>
      <c r="F35" s="14" t="inlineStr">
        <is>
          <t>FY2028E</t>
        </is>
      </c>
      <c r="G35" s="14" t="inlineStr">
        <is>
          <t>FY2029E</t>
        </is>
      </c>
      <c r="H35" s="22" t="n"/>
    </row>
    <row r="36" ht="19.5" customHeight="1">
      <c r="B36" s="55" t="inlineStr">
        <is>
          <t>Revenue</t>
        </is>
      </c>
      <c r="C36" s="253">
        <f>ROUND(Inputs!$C$5*(1+Inputs!$C$29)^1,0)</f>
        <v/>
      </c>
      <c r="D36" s="253">
        <f>ROUND(Inputs!$C$5*(1+Inputs!$C$29)^2,0)</f>
        <v/>
      </c>
      <c r="E36" s="253">
        <f>ROUND(Inputs!$C$5*(1+Inputs!$C$29)^3,0)</f>
        <v/>
      </c>
      <c r="F36" s="253">
        <f>ROUND(Inputs!$C$5*(1+Inputs!$C$29)^4,0)</f>
        <v/>
      </c>
      <c r="G36" s="253">
        <f>ROUND(Inputs!$C$5*(1+Inputs!$C$29)^5,0)</f>
        <v/>
      </c>
      <c r="H36" s="56" t="n"/>
    </row>
    <row r="37" ht="19.5" customHeight="1">
      <c r="B37" s="19" t="inlineStr">
        <is>
          <t xml:space="preserve">  EBITDA</t>
        </is>
      </c>
      <c r="C37" s="236">
        <f>ROUND(C36*Inputs!$C$30,0)</f>
        <v/>
      </c>
      <c r="D37" s="236">
        <f>ROUND(D36*Inputs!$C$31,0)</f>
        <v/>
      </c>
      <c r="E37" s="236">
        <f>ROUND(E36*Inputs!$C$31,0)</f>
        <v/>
      </c>
      <c r="F37" s="236">
        <f>ROUND(F36*Inputs!$C$31,0)</f>
        <v/>
      </c>
      <c r="G37" s="236">
        <f>ROUND(G36*Inputs!$C$31,0)</f>
        <v/>
      </c>
      <c r="H37" s="22" t="n"/>
    </row>
    <row r="38" ht="19.5" customHeight="1">
      <c r="B38" s="19" t="inlineStr">
        <is>
          <t xml:space="preserve">  D&amp;A  </t>
        </is>
      </c>
      <c r="C38" s="236">
        <f>ROUND(C36*Inputs!$C$21,0)</f>
        <v/>
      </c>
      <c r="D38" s="236">
        <f>ROUND(D36*Inputs!$C$21,0)</f>
        <v/>
      </c>
      <c r="E38" s="236">
        <f>ROUND(E36*Inputs!$C$21,0)</f>
        <v/>
      </c>
      <c r="F38" s="236">
        <f>ROUND(F36*Inputs!$C$21,0)</f>
        <v/>
      </c>
      <c r="G38" s="236">
        <f>ROUND(G36*Inputs!$C$21,0)</f>
        <v/>
      </c>
      <c r="H38" s="22" t="n"/>
    </row>
    <row r="39" ht="19.5" customHeight="1">
      <c r="B39" s="19" t="inlineStr">
        <is>
          <t xml:space="preserve">  EBIT</t>
        </is>
      </c>
      <c r="C39" s="236">
        <f>C37-C38</f>
        <v/>
      </c>
      <c r="D39" s="236">
        <f>D37-D38</f>
        <v/>
      </c>
      <c r="E39" s="236">
        <f>E37-E38</f>
        <v/>
      </c>
      <c r="F39" s="236">
        <f>F37-F38</f>
        <v/>
      </c>
      <c r="G39" s="236">
        <f>G37-G38</f>
        <v/>
      </c>
      <c r="H39" s="22" t="n"/>
    </row>
    <row r="40" ht="19.5" customHeight="1">
      <c r="B40" s="55" t="inlineStr">
        <is>
          <t xml:space="preserve">  NOPAT  </t>
        </is>
      </c>
      <c r="C40" s="253">
        <f>ROUND(C39*(1-Inputs!$C$18),0)</f>
        <v/>
      </c>
      <c r="D40" s="253">
        <f>ROUND(D39*(1-Inputs!$C$18),0)</f>
        <v/>
      </c>
      <c r="E40" s="253">
        <f>ROUND(E39*(1-Inputs!$C$18),0)</f>
        <v/>
      </c>
      <c r="F40" s="253">
        <f>ROUND(F39*(1-Inputs!$C$18),0)</f>
        <v/>
      </c>
      <c r="G40" s="253">
        <f>ROUND(G39*(1-Inputs!$C$18),0)</f>
        <v/>
      </c>
      <c r="H40" s="56" t="n"/>
    </row>
    <row r="41" ht="19.5" customHeight="1">
      <c r="B41" s="19" t="inlineStr">
        <is>
          <t xml:space="preserve">  Less: Capex</t>
        </is>
      </c>
      <c r="C41" s="236">
        <f>ROUND(C36*Inputs!$C$22,0)</f>
        <v/>
      </c>
      <c r="D41" s="236">
        <f>ROUND(D36*Inputs!$C$22,0)</f>
        <v/>
      </c>
      <c r="E41" s="236">
        <f>ROUND(E36*Inputs!$C$22,0)</f>
        <v/>
      </c>
      <c r="F41" s="236">
        <f>ROUND(F36*Inputs!$C$22,0)</f>
        <v/>
      </c>
      <c r="G41" s="236">
        <f>ROUND(G36*Inputs!$C$22,0)</f>
        <v/>
      </c>
      <c r="H41" s="22" t="n"/>
    </row>
    <row r="42" ht="19.5" customHeight="1">
      <c r="B42" s="19" t="inlineStr">
        <is>
          <t xml:space="preserve">  Less: Increase in NWC</t>
        </is>
      </c>
      <c r="C42" s="236">
        <f>ROUND((C36-Inputs!$C$5)*Inputs!$C$23,0)</f>
        <v/>
      </c>
      <c r="D42" s="236">
        <f>ROUND((D36-Inputs!$C$5*(1+Inputs!$C$29)^1)*Inputs!$C$23,0)</f>
        <v/>
      </c>
      <c r="E42" s="236">
        <f>ROUND((E36-Inputs!$C$5*(1+Inputs!$C$29)^2)*Inputs!$C$23,0)</f>
        <v/>
      </c>
      <c r="F42" s="236">
        <f>ROUND((F36-Inputs!$C$5*(1+Inputs!$C$29)^3)*Inputs!$C$23,0)</f>
        <v/>
      </c>
      <c r="G42" s="236">
        <f>ROUND((G36-Inputs!$C$5*(1+Inputs!$C$29)^4)*Inputs!$C$23,0)</f>
        <v/>
      </c>
      <c r="H42" s="22" t="n"/>
    </row>
    <row r="43" ht="21.75" customHeight="1">
      <c r="B43" s="55" t="inlineStr">
        <is>
          <t>UNLEVERED FREE CASH FLOW</t>
        </is>
      </c>
      <c r="C43" s="253">
        <f>C40+C38-C41-C42</f>
        <v/>
      </c>
      <c r="D43" s="253">
        <f>D40+D38-D41-D42</f>
        <v/>
      </c>
      <c r="E43" s="253">
        <f>E40+E38-E41-E42</f>
        <v/>
      </c>
      <c r="F43" s="253">
        <f>F40+F38-F41-F42</f>
        <v/>
      </c>
      <c r="G43" s="253">
        <f>G40+G38-G41-G42</f>
        <v/>
      </c>
      <c r="H43" s="56" t="n"/>
    </row>
    <row r="44" ht="18" customHeight="1">
      <c r="B44" s="59" t="inlineStr">
        <is>
          <t xml:space="preserve">  PV Factor  </t>
        </is>
      </c>
      <c r="C44" s="245">
        <f>1/(1+WACC!$C$17)^1</f>
        <v/>
      </c>
      <c r="D44" s="245">
        <f>1/(1+WACC!$C$17)^2</f>
        <v/>
      </c>
      <c r="E44" s="245">
        <f>1/(1+WACC!$C$17)^3</f>
        <v/>
      </c>
      <c r="F44" s="245">
        <f>1/(1+WACC!$C$17)^4</f>
        <v/>
      </c>
      <c r="G44" s="245">
        <f>1/(1+WACC!$C$17)^5</f>
        <v/>
      </c>
      <c r="H44" s="22" t="n"/>
    </row>
    <row r="45" ht="18" customHeight="1">
      <c r="B45" s="60" t="inlineStr">
        <is>
          <t xml:space="preserve">  PV of UFCF</t>
        </is>
      </c>
      <c r="C45" s="254">
        <f>ROUND(C43*C44,0)</f>
        <v/>
      </c>
      <c r="D45" s="254">
        <f>ROUND(D43*D44,0)</f>
        <v/>
      </c>
      <c r="E45" s="254">
        <f>ROUND(E43*E44,0)</f>
        <v/>
      </c>
      <c r="F45" s="254">
        <f>ROUND(F43*F44,0)</f>
        <v/>
      </c>
      <c r="G45" s="254">
        <f>ROUND(G43*G44,0)</f>
        <v/>
      </c>
      <c r="H45" s="54" t="n"/>
    </row>
    <row r="46" ht="6" customHeight="1">
      <c r="B46" s="44" t="n"/>
      <c r="C46" s="45" t="n"/>
      <c r="D46" s="45" t="n"/>
      <c r="E46" s="45" t="n"/>
      <c r="F46" s="45" t="n"/>
      <c r="G46" s="45" t="n"/>
      <c r="H46" s="46" t="n"/>
    </row>
    <row r="47">
      <c r="B47" s="255" t="inlineStr">
        <is>
          <t xml:space="preserve">BASE </t>
        </is>
      </c>
      <c r="H47" s="34" t="n"/>
    </row>
    <row r="48" ht="19.5" customHeight="1">
      <c r="B48" s="19" t="inlineStr">
        <is>
          <t xml:space="preserve">Sum of PV  </t>
        </is>
      </c>
      <c r="C48" s="236">
        <f>SUM(C45:G45)</f>
        <v/>
      </c>
      <c r="H48" s="22" t="n"/>
    </row>
    <row r="49" ht="19.5" customHeight="1">
      <c r="B49" s="19" t="inlineStr">
        <is>
          <t xml:space="preserve">Terminal FCF </t>
        </is>
      </c>
      <c r="C49" s="236">
        <f>G43*(1+Inputs!$C$24)</f>
        <v/>
      </c>
      <c r="H49" s="22" t="n"/>
    </row>
    <row r="50" ht="19.5" customHeight="1">
      <c r="B50" s="19" t="inlineStr">
        <is>
          <t>Terminal Value  (Gordon Growth)</t>
        </is>
      </c>
      <c r="C50" s="236">
        <f>C49/(WACC!$C$17-Inputs!$C$24)</f>
        <v/>
      </c>
      <c r="H50" s="22" t="n"/>
    </row>
    <row r="51" ht="19.5" customHeight="1">
      <c r="B51" s="19" t="inlineStr">
        <is>
          <t>PV of Terminal Value</t>
        </is>
      </c>
      <c r="C51" s="236">
        <f>ROUND(C50*G44,0)</f>
        <v/>
      </c>
      <c r="H51" s="22" t="n"/>
    </row>
    <row r="52" ht="24" customHeight="1">
      <c r="B52" s="16" t="inlineStr">
        <is>
          <t>DCF ENTERPRISE VALUE</t>
        </is>
      </c>
      <c r="C52" s="234">
        <f>C48+C51</f>
        <v/>
      </c>
      <c r="D52" s="226" t="n"/>
      <c r="E52" s="226" t="n"/>
      <c r="F52" s="226" t="n"/>
      <c r="G52" s="226" t="n"/>
      <c r="H52" s="54" t="n"/>
    </row>
    <row r="53" ht="24" customHeight="1">
      <c r="B53" s="55" t="inlineStr">
        <is>
          <t xml:space="preserve">NPV OF ACQUISITION  </t>
        </is>
      </c>
      <c r="C53" s="253">
        <f>C52-Inputs!$C$36</f>
        <v/>
      </c>
      <c r="D53" s="248" t="n"/>
      <c r="E53" s="248" t="n"/>
      <c r="F53" s="248" t="n"/>
      <c r="G53" s="248" t="n"/>
      <c r="H53" s="56" t="n"/>
    </row>
    <row r="54" ht="6" customHeight="1">
      <c r="B54" s="21" t="n"/>
      <c r="C54" s="4" t="n"/>
      <c r="D54" s="4" t="n"/>
      <c r="E54" s="4" t="n"/>
      <c r="F54" s="4" t="n"/>
      <c r="G54" s="4" t="n"/>
      <c r="H54" s="22" t="n"/>
    </row>
    <row r="55">
      <c r="B55" s="255" t="inlineStr">
        <is>
          <t>BASE - LBO RETURNS</t>
        </is>
      </c>
      <c r="H55" s="34" t="n"/>
    </row>
    <row r="56" ht="19.5" customHeight="1">
      <c r="B56" s="19" t="inlineStr">
        <is>
          <t xml:space="preserve">Exit EBITDA </t>
        </is>
      </c>
      <c r="C56" s="236">
        <f>G37</f>
        <v/>
      </c>
      <c r="H56" s="22" t="n"/>
    </row>
    <row r="57" ht="19.5" customHeight="1">
      <c r="B57" s="19" t="inlineStr">
        <is>
          <t xml:space="preserve">Exit EV  </t>
        </is>
      </c>
      <c r="C57" s="236">
        <f>C56*Inputs!$C$42</f>
        <v/>
      </c>
      <c r="H57" s="22" t="n"/>
    </row>
    <row r="58" ht="19.5" customHeight="1">
      <c r="B58" s="19" t="inlineStr">
        <is>
          <t xml:space="preserve">Remaining Debt  </t>
        </is>
      </c>
      <c r="C58" s="236">
        <f>Inputs!$C$39-5*Inputs!$C$41</f>
        <v/>
      </c>
      <c r="H58" s="22" t="n"/>
    </row>
    <row r="59" ht="19.5" customHeight="1">
      <c r="B59" s="19" t="inlineStr">
        <is>
          <t>Exit Equity Value</t>
        </is>
      </c>
      <c r="C59" s="236">
        <f>C57-C58</f>
        <v/>
      </c>
      <c r="H59" s="22" t="n"/>
    </row>
    <row r="60" ht="19.5" customHeight="1">
      <c r="B60" s="19" t="inlineStr">
        <is>
          <t>Equity Invested</t>
        </is>
      </c>
      <c r="C60" s="236">
        <f>Inputs!$C$38</f>
        <v/>
      </c>
      <c r="H60" s="22" t="n"/>
    </row>
    <row r="61" ht="21.75" customHeight="1">
      <c r="A61" s="9" t="n"/>
      <c r="B61" s="90" t="inlineStr">
        <is>
          <t>MOIC</t>
        </is>
      </c>
      <c r="C61" s="257">
        <f>C59/C60</f>
        <v/>
      </c>
      <c r="D61" s="248" t="n"/>
      <c r="E61" s="248" t="n"/>
      <c r="F61" s="248" t="n"/>
      <c r="G61" s="248" t="n"/>
      <c r="H61" s="91" t="n"/>
    </row>
    <row r="62" ht="24" customHeight="1">
      <c r="A62" s="9" t="n"/>
      <c r="B62" s="92" t="inlineStr">
        <is>
          <t>IRR  (Exit Year 5)</t>
        </is>
      </c>
      <c r="C62" s="207">
        <f>(C59/C60)^(1/5)-1</f>
        <v/>
      </c>
      <c r="H62" s="93" t="n"/>
    </row>
    <row r="63" ht="7.5" customHeight="1">
      <c r="A63" s="9" t="n"/>
      <c r="B63" s="94" t="n"/>
      <c r="C63" s="95" t="n"/>
      <c r="D63" s="95" t="n"/>
      <c r="E63" s="95" t="n"/>
      <c r="F63" s="95" t="n"/>
      <c r="G63" s="95" t="n"/>
      <c r="H63" s="96" t="n"/>
    </row>
    <row r="64" ht="24" customHeight="1">
      <c r="B64" s="252" t="inlineStr">
        <is>
          <t xml:space="preserve">BULL SCENARIO   -   Growth 12% p.a. | EBITDA Margin 15.5% </t>
        </is>
      </c>
      <c r="C64" s="226" t="n"/>
      <c r="D64" s="226" t="n"/>
      <c r="E64" s="226" t="n"/>
      <c r="F64" s="226" t="n"/>
      <c r="G64" s="226" t="n"/>
      <c r="H64" s="30" t="n"/>
    </row>
    <row r="65" ht="19.5" customHeight="1">
      <c r="B65" s="26" t="n"/>
      <c r="C65" s="14" t="inlineStr">
        <is>
          <t>FY2025E</t>
        </is>
      </c>
      <c r="D65" s="14" t="inlineStr">
        <is>
          <t>FY2026E</t>
        </is>
      </c>
      <c r="E65" s="14" t="inlineStr">
        <is>
          <t>FY2027E</t>
        </is>
      </c>
      <c r="F65" s="14" t="inlineStr">
        <is>
          <t>FY2028E</t>
        </is>
      </c>
      <c r="G65" s="14" t="inlineStr">
        <is>
          <t>FY2029E</t>
        </is>
      </c>
      <c r="H65" s="22" t="n"/>
    </row>
    <row r="66" ht="19.5" customHeight="1">
      <c r="B66" s="55" t="inlineStr">
        <is>
          <t>Revenue</t>
        </is>
      </c>
      <c r="C66" s="253">
        <f>ROUND(Inputs!$C$5*(1+Inputs!$C$32)^1,0)</f>
        <v/>
      </c>
      <c r="D66" s="253">
        <f>ROUND(Inputs!$C$5*(1+Inputs!$C$32)^2,0)</f>
        <v/>
      </c>
      <c r="E66" s="253">
        <f>ROUND(Inputs!$C$5*(1+Inputs!$C$32)^3,0)</f>
        <v/>
      </c>
      <c r="F66" s="253">
        <f>ROUND(Inputs!$C$5*(1+Inputs!$C$32)^4,0)</f>
        <v/>
      </c>
      <c r="G66" s="253">
        <f>ROUND(Inputs!$C$5*(1+Inputs!$C$32)^5,0)</f>
        <v/>
      </c>
      <c r="H66" s="56" t="n"/>
    </row>
    <row r="67" ht="19.5" customHeight="1">
      <c r="B67" s="19" t="inlineStr">
        <is>
          <t xml:space="preserve">  EBITDA</t>
        </is>
      </c>
      <c r="C67" s="236">
        <f>ROUND(C66*Inputs!$C$33,0)</f>
        <v/>
      </c>
      <c r="D67" s="236">
        <f>ROUND(D66*Inputs!$C$33,0)</f>
        <v/>
      </c>
      <c r="E67" s="236">
        <f>ROUND(E66*Inputs!$C$33,0)</f>
        <v/>
      </c>
      <c r="F67" s="236">
        <f>ROUND(F66*Inputs!$C$33,0)</f>
        <v/>
      </c>
      <c r="G67" s="236">
        <f>ROUND(G66*Inputs!$C$33,0)</f>
        <v/>
      </c>
      <c r="H67" s="22" t="n"/>
    </row>
    <row r="68" ht="19.5" customHeight="1">
      <c r="B68" s="19" t="inlineStr">
        <is>
          <t xml:space="preserve">  D&amp;A  </t>
        </is>
      </c>
      <c r="C68" s="236">
        <f>ROUND(C66*Inputs!$C$21,0)</f>
        <v/>
      </c>
      <c r="D68" s="236">
        <f>ROUND(D66*Inputs!$C$21,0)</f>
        <v/>
      </c>
      <c r="E68" s="236">
        <f>ROUND(E66*Inputs!$C$21,0)</f>
        <v/>
      </c>
      <c r="F68" s="236">
        <f>ROUND(F66*Inputs!$C$21,0)</f>
        <v/>
      </c>
      <c r="G68" s="236">
        <f>ROUND(G66*Inputs!$C$21,0)</f>
        <v/>
      </c>
      <c r="H68" s="22" t="n"/>
    </row>
    <row r="69" ht="19.5" customHeight="1">
      <c r="B69" s="19" t="inlineStr">
        <is>
          <t xml:space="preserve">  EBIT</t>
        </is>
      </c>
      <c r="C69" s="236">
        <f>C67-C68</f>
        <v/>
      </c>
      <c r="D69" s="236">
        <f>D67-D68</f>
        <v/>
      </c>
      <c r="E69" s="236">
        <f>E67-E68</f>
        <v/>
      </c>
      <c r="F69" s="236">
        <f>F67-F68</f>
        <v/>
      </c>
      <c r="G69" s="236">
        <f>G67-G68</f>
        <v/>
      </c>
      <c r="H69" s="22" t="n"/>
    </row>
    <row r="70" ht="19.5" customHeight="1">
      <c r="B70" s="55" t="inlineStr">
        <is>
          <t xml:space="preserve">  NOPAT  </t>
        </is>
      </c>
      <c r="C70" s="253">
        <f>ROUND(C69*(1-Inputs!$C$18),0)</f>
        <v/>
      </c>
      <c r="D70" s="253">
        <f>ROUND(D69*(1-Inputs!$C$18),0)</f>
        <v/>
      </c>
      <c r="E70" s="253">
        <f>ROUND(E69*(1-Inputs!$C$18),0)</f>
        <v/>
      </c>
      <c r="F70" s="253">
        <f>ROUND(F69*(1-Inputs!$C$18),0)</f>
        <v/>
      </c>
      <c r="G70" s="253">
        <f>ROUND(G69*(1-Inputs!$C$18),0)</f>
        <v/>
      </c>
      <c r="H70" s="56" t="n"/>
    </row>
    <row r="71" ht="19.5" customHeight="1">
      <c r="B71" s="19" t="inlineStr">
        <is>
          <t xml:space="preserve">  Less: Capex</t>
        </is>
      </c>
      <c r="C71" s="236">
        <f>ROUND(C66*Inputs!$C$22,0)</f>
        <v/>
      </c>
      <c r="D71" s="236">
        <f>ROUND(D66*Inputs!$C$22,0)</f>
        <v/>
      </c>
      <c r="E71" s="236">
        <f>ROUND(E66*Inputs!$C$22,0)</f>
        <v/>
      </c>
      <c r="F71" s="236">
        <f>ROUND(F66*Inputs!$C$22,0)</f>
        <v/>
      </c>
      <c r="G71" s="236">
        <f>ROUND(G66*Inputs!$C$22,0)</f>
        <v/>
      </c>
      <c r="H71" s="22" t="n"/>
    </row>
    <row r="72" ht="19.5" customHeight="1">
      <c r="B72" s="19" t="inlineStr">
        <is>
          <t xml:space="preserve">  Less: Increase in NWC</t>
        </is>
      </c>
      <c r="C72" s="236">
        <f>ROUND((C66-Inputs!$C$5)*Inputs!$C$23,0)</f>
        <v/>
      </c>
      <c r="D72" s="236">
        <f>ROUND((D66-Inputs!$C$5*(1+Inputs!$C$32)^1)*Inputs!$C$23,0)</f>
        <v/>
      </c>
      <c r="E72" s="236">
        <f>ROUND((E66-Inputs!$C$5*(1+Inputs!$C$32)^2)*Inputs!$C$23,0)</f>
        <v/>
      </c>
      <c r="F72" s="236">
        <f>ROUND((F66-Inputs!$C$5*(1+Inputs!$C$32)^3)*Inputs!$C$23,0)</f>
        <v/>
      </c>
      <c r="G72" s="236">
        <f>ROUND((G66-Inputs!$C$5*(1+Inputs!$C$32)^4)*Inputs!$C$23,0)</f>
        <v/>
      </c>
      <c r="H72" s="22" t="n"/>
    </row>
    <row r="73" ht="21.75" customHeight="1">
      <c r="B73" s="55" t="inlineStr">
        <is>
          <t>UNLEVERED FREE CASH FLOW</t>
        </is>
      </c>
      <c r="C73" s="253">
        <f>C70+C68-C71-C72</f>
        <v/>
      </c>
      <c r="D73" s="253">
        <f>D70+D68-D71-D72</f>
        <v/>
      </c>
      <c r="E73" s="253">
        <f>E70+E68-E71-E72</f>
        <v/>
      </c>
      <c r="F73" s="253">
        <f>F70+F68-F71-F72</f>
        <v/>
      </c>
      <c r="G73" s="253">
        <f>G70+G68-G71-G72</f>
        <v/>
      </c>
      <c r="H73" s="56" t="n"/>
    </row>
    <row r="74" ht="18" customHeight="1">
      <c r="B74" s="59" t="inlineStr">
        <is>
          <t xml:space="preserve">  PV Factor </t>
        </is>
      </c>
      <c r="C74" s="245">
        <f>1/(1+WACC!$C$17)^1</f>
        <v/>
      </c>
      <c r="D74" s="245">
        <f>1/(1+WACC!$C$17)^2</f>
        <v/>
      </c>
      <c r="E74" s="245">
        <f>1/(1+WACC!$C$17)^3</f>
        <v/>
      </c>
      <c r="F74" s="245">
        <f>1/(1+WACC!$C$17)^4</f>
        <v/>
      </c>
      <c r="G74" s="245">
        <f>1/(1+WACC!$C$17)^5</f>
        <v/>
      </c>
      <c r="H74" s="22" t="n"/>
    </row>
    <row r="75" ht="18" customHeight="1">
      <c r="B75" s="60" t="inlineStr">
        <is>
          <t xml:space="preserve">  PV of UFCF</t>
        </is>
      </c>
      <c r="C75" s="254">
        <f>ROUND(C73*C74,0)</f>
        <v/>
      </c>
      <c r="D75" s="254">
        <f>ROUND(D73*D74,0)</f>
        <v/>
      </c>
      <c r="E75" s="254">
        <f>ROUND(E73*E74,0)</f>
        <v/>
      </c>
      <c r="F75" s="254">
        <f>ROUND(F73*F74,0)</f>
        <v/>
      </c>
      <c r="G75" s="254">
        <f>ROUND(G73*G74,0)</f>
        <v/>
      </c>
      <c r="H75" s="54" t="n"/>
    </row>
    <row r="76" ht="6" customHeight="1">
      <c r="B76" s="44" t="n"/>
      <c r="C76" s="45" t="n"/>
      <c r="D76" s="45" t="n"/>
      <c r="E76" s="45" t="n"/>
      <c r="F76" s="45" t="n"/>
      <c r="G76" s="45" t="n"/>
      <c r="H76" s="46" t="n"/>
    </row>
    <row r="77">
      <c r="B77" s="255" t="inlineStr">
        <is>
          <t xml:space="preserve">BULL </t>
        </is>
      </c>
      <c r="H77" s="34" t="n"/>
    </row>
    <row r="78" ht="19.5" customHeight="1">
      <c r="B78" s="19" t="inlineStr">
        <is>
          <t>Sum of PV</t>
        </is>
      </c>
      <c r="C78" s="236">
        <f>SUM(C75:G75)</f>
        <v/>
      </c>
      <c r="H78" s="22" t="n"/>
    </row>
    <row r="79" ht="19.5" customHeight="1">
      <c r="B79" s="19" t="inlineStr">
        <is>
          <t xml:space="preserve">Terminal FCF  </t>
        </is>
      </c>
      <c r="C79" s="236">
        <f>G73*(1+Inputs!$C$24)</f>
        <v/>
      </c>
      <c r="H79" s="22" t="n"/>
    </row>
    <row r="80" ht="19.5" customHeight="1">
      <c r="B80" s="19" t="inlineStr">
        <is>
          <t>Terminal Value  (Gordon Growth)</t>
        </is>
      </c>
      <c r="C80" s="236">
        <f>C79/(WACC!$C$17-Inputs!$C$24)</f>
        <v/>
      </c>
      <c r="H80" s="22" t="n"/>
      <c r="I80" s="181" t="n"/>
    </row>
    <row r="81" ht="19.5" customHeight="1">
      <c r="B81" s="19" t="inlineStr">
        <is>
          <t>PV of Terminal Value</t>
        </is>
      </c>
      <c r="C81" s="236">
        <f>ROUND(C80*G74,0)</f>
        <v/>
      </c>
      <c r="H81" s="22" t="n"/>
    </row>
    <row r="82" ht="24" customHeight="1">
      <c r="B82" s="16" t="inlineStr">
        <is>
          <t>DCF ENTERPRISE VALUE</t>
        </is>
      </c>
      <c r="C82" s="234">
        <f>C78+C81</f>
        <v/>
      </c>
      <c r="D82" s="226" t="n"/>
      <c r="E82" s="226" t="n"/>
      <c r="F82" s="226" t="n"/>
      <c r="G82" s="226" t="n"/>
      <c r="H82" s="54" t="n"/>
    </row>
    <row r="83" ht="24" customHeight="1">
      <c r="B83" s="55" t="inlineStr">
        <is>
          <t xml:space="preserve">NPV OF ACQUISITION  </t>
        </is>
      </c>
      <c r="C83" s="253">
        <f>C82-Inputs!$C$36</f>
        <v/>
      </c>
      <c r="D83" s="248" t="n"/>
      <c r="E83" s="248" t="n"/>
      <c r="F83" s="248" t="n"/>
      <c r="G83" s="248" t="n"/>
      <c r="H83" s="56" t="n"/>
      <c r="I83" s="2" t="n"/>
    </row>
    <row r="84" ht="6" customHeight="1">
      <c r="B84" s="21" t="n"/>
      <c r="C84" s="4" t="n"/>
      <c r="D84" s="4" t="n"/>
      <c r="E84" s="4" t="n"/>
      <c r="F84" s="4" t="n"/>
      <c r="G84" s="4" t="n"/>
      <c r="H84" s="22" t="n"/>
    </row>
    <row r="85">
      <c r="B85" s="255" t="inlineStr">
        <is>
          <t>BULL - LBO RETURNS</t>
        </is>
      </c>
      <c r="H85" s="34" t="n"/>
    </row>
    <row r="86" ht="19.5" customHeight="1">
      <c r="B86" s="19" t="inlineStr">
        <is>
          <t xml:space="preserve">Exit EBITDA </t>
        </is>
      </c>
      <c r="C86" s="236">
        <f>G67</f>
        <v/>
      </c>
      <c r="H86" s="22" t="n"/>
    </row>
    <row r="87" ht="19.5" customHeight="1">
      <c r="B87" s="19" t="inlineStr">
        <is>
          <t xml:space="preserve">Exit EV </t>
        </is>
      </c>
      <c r="C87" s="236">
        <f>C86*Inputs!$C$42</f>
        <v/>
      </c>
      <c r="H87" s="22" t="n"/>
    </row>
    <row r="88" ht="19.5" customHeight="1">
      <c r="B88" s="19" t="inlineStr">
        <is>
          <t xml:space="preserve">Remaining Debt  </t>
        </is>
      </c>
      <c r="C88" s="236">
        <f>Inputs!$C$39-5*Inputs!$C$41</f>
        <v/>
      </c>
      <c r="H88" s="22" t="n"/>
    </row>
    <row r="89" ht="19.5" customHeight="1">
      <c r="B89" s="19" t="inlineStr">
        <is>
          <t>Exit Equity Value</t>
        </is>
      </c>
      <c r="C89" s="236">
        <f>C87-C88</f>
        <v/>
      </c>
      <c r="H89" s="22" t="n"/>
    </row>
    <row r="90" ht="19.5" customHeight="1">
      <c r="B90" s="19" t="inlineStr">
        <is>
          <t>Equity Invested</t>
        </is>
      </c>
      <c r="C90" s="236">
        <f>Inputs!$C$38</f>
        <v/>
      </c>
      <c r="H90" s="22" t="n"/>
    </row>
    <row r="91" ht="21.75" customHeight="1">
      <c r="B91" s="62" t="inlineStr">
        <is>
          <t>MOIC</t>
        </is>
      </c>
      <c r="C91" s="258">
        <f>C89/C90</f>
        <v/>
      </c>
      <c r="D91" s="248" t="n"/>
      <c r="E91" s="248" t="n"/>
      <c r="F91" s="248" t="n"/>
      <c r="G91" s="248" t="n"/>
      <c r="H91" s="57" t="n"/>
    </row>
    <row r="92" ht="24" customHeight="1">
      <c r="B92" s="63" t="inlineStr">
        <is>
          <t>IRR  (Exit Year 5)</t>
        </is>
      </c>
      <c r="C92" s="209">
        <f>(C89/C90)^(1/5)-1</f>
        <v/>
      </c>
      <c r="H92" s="50" t="n"/>
      <c r="I92" s="2" t="n"/>
    </row>
    <row r="93" ht="7.5" customHeight="1">
      <c r="B93" s="51" t="n"/>
      <c r="C93" s="52" t="n"/>
      <c r="D93" s="52" t="n"/>
      <c r="E93" s="52" t="n"/>
      <c r="F93" s="52" t="n"/>
      <c r="G93" s="52" t="n"/>
      <c r="H93" s="53" t="n"/>
    </row>
  </sheetData>
  <mergeCells count="50">
    <mergeCell ref="C92:G92"/>
    <mergeCell ref="C49:G49"/>
    <mergeCell ref="C30:G30"/>
    <mergeCell ref="C83:G83"/>
    <mergeCell ref="C86:G86"/>
    <mergeCell ref="C62:G62"/>
    <mergeCell ref="C58:G58"/>
    <mergeCell ref="C89:G89"/>
    <mergeCell ref="B55:H55"/>
    <mergeCell ref="C87:G87"/>
    <mergeCell ref="B64:H64"/>
    <mergeCell ref="C88:G88"/>
    <mergeCell ref="C26:G26"/>
    <mergeCell ref="C79:G79"/>
    <mergeCell ref="B85:H85"/>
    <mergeCell ref="C29:G29"/>
    <mergeCell ref="C20:G20"/>
    <mergeCell ref="B4:H4"/>
    <mergeCell ref="C50:G50"/>
    <mergeCell ref="B47:H47"/>
    <mergeCell ref="C31:G31"/>
    <mergeCell ref="B25:H25"/>
    <mergeCell ref="C22:G22"/>
    <mergeCell ref="C80:G80"/>
    <mergeCell ref="C56:G56"/>
    <mergeCell ref="C90:G90"/>
    <mergeCell ref="C59:G59"/>
    <mergeCell ref="C21:G21"/>
    <mergeCell ref="C60:G60"/>
    <mergeCell ref="B77:H77"/>
    <mergeCell ref="C51:G51"/>
    <mergeCell ref="C27:G27"/>
    <mergeCell ref="B2:H2"/>
    <mergeCell ref="C61:G61"/>
    <mergeCell ref="C23:G23"/>
    <mergeCell ref="C52:G52"/>
    <mergeCell ref="C48:G48"/>
    <mergeCell ref="C82:G82"/>
    <mergeCell ref="C91:G91"/>
    <mergeCell ref="B17:H17"/>
    <mergeCell ref="B1:H1"/>
    <mergeCell ref="C81:G81"/>
    <mergeCell ref="C32:G32"/>
    <mergeCell ref="B34:H34"/>
    <mergeCell ref="C28:G28"/>
    <mergeCell ref="C57:G57"/>
    <mergeCell ref="C19:G19"/>
    <mergeCell ref="C53:G53"/>
    <mergeCell ref="C18:G18"/>
    <mergeCell ref="C78:G78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zoomScaleNormal="100" workbookViewId="0">
      <selection activeCell="B1" sqref="B1:H1"/>
    </sheetView>
  </sheetViews>
  <sheetFormatPr baseColWidth="10" defaultColWidth="8.6640625" defaultRowHeight="15"/>
  <cols>
    <col width="3" customWidth="1" min="1" max="1"/>
    <col width="32" customWidth="1" min="2" max="2"/>
    <col width="13" customWidth="1" min="3" max="4"/>
    <col width="14.6640625" customWidth="1" min="5" max="5"/>
    <col width="13" customWidth="1" min="6" max="8"/>
    <col width="3" customWidth="1" min="9" max="9"/>
    <col width="24" customWidth="1" min="10" max="10"/>
  </cols>
  <sheetData>
    <row r="1" ht="30" customHeight="1">
      <c r="B1" s="180" t="inlineStr">
        <is>
          <t xml:space="preserve">LBO MODEL  -  BioFresh SAS  </t>
        </is>
      </c>
    </row>
    <row r="3" ht="15" customHeight="1">
      <c r="B3" s="210" t="inlineStr">
        <is>
          <t>SOURCES &amp; USES</t>
        </is>
      </c>
      <c r="C3" s="226" t="n"/>
      <c r="D3" s="226" t="n"/>
      <c r="E3" s="226" t="n"/>
      <c r="F3" s="226" t="n"/>
      <c r="G3" s="226" t="n"/>
      <c r="H3" s="226" t="n"/>
      <c r="I3" s="97" t="n"/>
    </row>
    <row r="4" ht="18" customHeight="1">
      <c r="B4" s="212" t="inlineStr">
        <is>
          <t>USES</t>
        </is>
      </c>
      <c r="D4" s="29" t="n"/>
      <c r="E4" s="213" t="inlineStr">
        <is>
          <t>SOURCES</t>
        </is>
      </c>
      <c r="G4" s="29" t="n"/>
      <c r="H4" s="29" t="n"/>
      <c r="I4" s="98" t="n"/>
    </row>
    <row r="5" ht="19.5" customHeight="1">
      <c r="B5" s="31" t="inlineStr">
        <is>
          <t>Purchase Price</t>
        </is>
      </c>
      <c r="C5" s="230">
        <f>Inputs!$C$36</f>
        <v/>
      </c>
      <c r="D5" s="4" t="n"/>
      <c r="E5" s="28" t="inlineStr">
        <is>
          <t>Equity (40%)</t>
        </is>
      </c>
      <c r="F5" s="230">
        <f>Inputs!$C$38</f>
        <v/>
      </c>
      <c r="G5" s="4" t="n"/>
      <c r="H5" s="4" t="n"/>
      <c r="I5" s="34" t="n"/>
    </row>
    <row r="6" ht="19.5" customHeight="1">
      <c r="B6" s="31" t="inlineStr">
        <is>
          <t>Advisory Fees (2%)</t>
        </is>
      </c>
      <c r="C6" s="230">
        <f>Inputs!$C$36*0.02</f>
        <v/>
      </c>
      <c r="D6" s="4" t="n"/>
      <c r="E6" s="28" t="inlineStr">
        <is>
          <t>Senior Debt (60%)</t>
        </is>
      </c>
      <c r="F6" s="230">
        <f>Inputs!$C$39</f>
        <v/>
      </c>
      <c r="G6" s="4" t="n"/>
      <c r="H6" s="4" t="n"/>
      <c r="I6" s="34" t="n"/>
    </row>
    <row r="7" ht="21.75" customHeight="1">
      <c r="A7" s="99" t="n"/>
      <c r="B7" s="58" t="inlineStr">
        <is>
          <t>TOTAL USES</t>
        </is>
      </c>
      <c r="C7" s="259">
        <f>C5+C6</f>
        <v/>
      </c>
      <c r="D7" s="81" t="n"/>
      <c r="E7" s="101" t="inlineStr">
        <is>
          <t>TOTAL SOURCES</t>
        </is>
      </c>
      <c r="F7" s="259">
        <f>F5+F6</f>
        <v/>
      </c>
      <c r="G7" s="81" t="n"/>
      <c r="H7" s="81" t="n"/>
      <c r="I7" s="102" t="n"/>
    </row>
    <row r="8">
      <c r="B8" s="4" t="n"/>
      <c r="C8" s="4" t="n"/>
      <c r="D8" s="4" t="n"/>
      <c r="E8" s="4" t="n"/>
      <c r="F8" s="4" t="n"/>
      <c r="G8" s="4" t="n"/>
      <c r="H8" s="4" t="n"/>
    </row>
    <row r="9" ht="15" customHeight="1">
      <c r="B9" s="210" t="inlineStr">
        <is>
          <t>DEBT SCHEDULE  (Senior Secured)</t>
        </is>
      </c>
      <c r="C9" s="226" t="n"/>
      <c r="D9" s="226" t="n"/>
      <c r="E9" s="226" t="n"/>
      <c r="F9" s="226" t="n"/>
      <c r="G9" s="226" t="n"/>
      <c r="H9" s="226" t="n"/>
      <c r="I9" s="30" t="n"/>
    </row>
    <row r="10" ht="21.75" customHeight="1">
      <c r="B10" s="212" t="n"/>
      <c r="C10" s="104" t="inlineStr">
        <is>
          <t>FY2024</t>
        </is>
      </c>
      <c r="D10" s="105" t="inlineStr">
        <is>
          <t>FY2025</t>
        </is>
      </c>
      <c r="E10" s="105" t="inlineStr">
        <is>
          <t>FY2026</t>
        </is>
      </c>
      <c r="F10" s="105" t="inlineStr">
        <is>
          <t>FY2027</t>
        </is>
      </c>
      <c r="G10" s="105" t="inlineStr">
        <is>
          <t>FY2028</t>
        </is>
      </c>
      <c r="H10" s="105" t="inlineStr">
        <is>
          <t>FY2029</t>
        </is>
      </c>
      <c r="I10" s="34" t="n"/>
    </row>
    <row r="11" ht="19.5" customHeight="1">
      <c r="B11" s="31" t="inlineStr">
        <is>
          <t>Beginning Debt Balance</t>
        </is>
      </c>
      <c r="C11" s="230">
        <f>Inputs!$C$39</f>
        <v/>
      </c>
      <c r="D11" s="230">
        <f>C14</f>
        <v/>
      </c>
      <c r="E11" s="230">
        <f>D14</f>
        <v/>
      </c>
      <c r="F11" s="230">
        <f>E14</f>
        <v/>
      </c>
      <c r="G11" s="230">
        <f>F14</f>
        <v/>
      </c>
      <c r="H11" s="230">
        <f>G14</f>
        <v/>
      </c>
      <c r="I11" s="34" t="n"/>
    </row>
    <row r="12" ht="19.5" customHeight="1">
      <c r="B12" s="31" t="inlineStr">
        <is>
          <t xml:space="preserve">  Interest Expense</t>
        </is>
      </c>
      <c r="C12" s="230">
        <f>-C11*Inputs!$C$40</f>
        <v/>
      </c>
      <c r="D12" s="230">
        <f>-D11*Inputs!$C$40</f>
        <v/>
      </c>
      <c r="E12" s="230">
        <f>-E11*Inputs!$C$40</f>
        <v/>
      </c>
      <c r="F12" s="230">
        <f>-F11*Inputs!$C$40</f>
        <v/>
      </c>
      <c r="G12" s="230">
        <f>-G11*Inputs!$C$40</f>
        <v/>
      </c>
      <c r="H12" s="230">
        <f>-H11*Inputs!$C$40</f>
        <v/>
      </c>
      <c r="I12" s="34" t="n"/>
    </row>
    <row r="13" ht="19.5" customHeight="1">
      <c r="B13" s="31" t="inlineStr">
        <is>
          <t xml:space="preserve">  Principal Repayment</t>
        </is>
      </c>
      <c r="C13" s="230" t="n"/>
      <c r="D13" s="230">
        <f>-Inputs!$C$41</f>
        <v/>
      </c>
      <c r="E13" s="230">
        <f>-Inputs!$C$41</f>
        <v/>
      </c>
      <c r="F13" s="230">
        <f>-Inputs!$C$41</f>
        <v/>
      </c>
      <c r="G13" s="230">
        <f>-Inputs!$C$41</f>
        <v/>
      </c>
      <c r="H13" s="230">
        <f>-Inputs!$C$41</f>
        <v/>
      </c>
      <c r="I13" s="34" t="n"/>
    </row>
    <row r="14" ht="19.5" customHeight="1">
      <c r="B14" s="58" t="inlineStr">
        <is>
          <t>Ending Debt Balance</t>
        </is>
      </c>
      <c r="C14" s="259">
        <f>C11</f>
        <v/>
      </c>
      <c r="D14" s="259">
        <f>C14+D13</f>
        <v/>
      </c>
      <c r="E14" s="259">
        <f>D14+E13</f>
        <v/>
      </c>
      <c r="F14" s="259">
        <f>E14+F13</f>
        <v/>
      </c>
      <c r="G14" s="259">
        <f>F14+G13</f>
        <v/>
      </c>
      <c r="H14" s="259">
        <f>G14+H13</f>
        <v/>
      </c>
      <c r="I14" s="102" t="n"/>
    </row>
    <row r="15" ht="7.5" customHeight="1">
      <c r="B15" s="4" t="n"/>
      <c r="C15" s="4" t="n"/>
      <c r="D15" s="4" t="n"/>
      <c r="E15" s="4" t="n"/>
      <c r="F15" s="4" t="n"/>
      <c r="G15" s="4" t="n"/>
      <c r="H15" s="4" t="n"/>
    </row>
    <row r="16" ht="15" customHeight="1">
      <c r="B16" s="214" t="inlineStr">
        <is>
          <t>CREDIT STATISTICS  (Base Case EBITDA)</t>
        </is>
      </c>
      <c r="C16" s="226" t="n"/>
      <c r="D16" s="226" t="n"/>
      <c r="E16" s="226" t="n"/>
      <c r="F16" s="226" t="n"/>
      <c r="G16" s="226" t="n"/>
      <c r="H16" s="226" t="n"/>
      <c r="I16" s="30" t="n"/>
    </row>
    <row r="17" ht="21.75" customHeight="1">
      <c r="B17" s="106" t="n"/>
      <c r="C17" s="107" t="inlineStr">
        <is>
          <t>FY2024</t>
        </is>
      </c>
      <c r="I17" s="34" t="n"/>
    </row>
    <row r="18" ht="15" customHeight="1">
      <c r="B18" s="108" t="n"/>
      <c r="D18" s="107" t="inlineStr">
        <is>
          <t>FY2025</t>
        </is>
      </c>
      <c r="I18" s="34" t="n"/>
    </row>
    <row r="19" ht="15" customHeight="1">
      <c r="B19" s="108" t="n"/>
      <c r="E19" s="107" t="inlineStr">
        <is>
          <t>FY2026</t>
        </is>
      </c>
      <c r="I19" s="34" t="n"/>
    </row>
    <row r="20" ht="15" customHeight="1">
      <c r="B20" s="108" t="n"/>
      <c r="F20" s="107" t="inlineStr">
        <is>
          <t>FY2027</t>
        </is>
      </c>
      <c r="I20" s="34" t="n"/>
    </row>
    <row r="21" ht="15" customHeight="1">
      <c r="B21" s="108" t="n"/>
      <c r="G21" s="107" t="inlineStr">
        <is>
          <t>FY2028</t>
        </is>
      </c>
      <c r="I21" s="34" t="n"/>
    </row>
    <row r="22" ht="15" customHeight="1">
      <c r="B22" s="108" t="n"/>
      <c r="H22" s="107" t="inlineStr">
        <is>
          <t>FY2029</t>
        </is>
      </c>
      <c r="I22" s="34" t="n"/>
    </row>
    <row r="23" ht="19.5" customHeight="1">
      <c r="B23" s="31" t="inlineStr">
        <is>
          <t>EBITDA</t>
        </is>
      </c>
      <c r="C23" s="230">
        <f>'P&amp;L'!E10</f>
        <v/>
      </c>
      <c r="D23" s="230">
        <f>'P&amp;L'!F10</f>
        <v/>
      </c>
      <c r="E23" s="230">
        <f>'P&amp;L'!G10</f>
        <v/>
      </c>
      <c r="F23" s="230">
        <f>'P&amp;L'!H10</f>
        <v/>
      </c>
      <c r="G23" s="230">
        <f>'P&amp;L'!I10</f>
        <v/>
      </c>
      <c r="H23" s="230">
        <f>'P&amp;L'!J10</f>
        <v/>
      </c>
      <c r="I23" s="22" t="n"/>
    </row>
    <row r="24" ht="19.5" customHeight="1">
      <c r="B24" s="31" t="inlineStr">
        <is>
          <t xml:space="preserve">  Debt / EBITDA</t>
        </is>
      </c>
      <c r="C24" s="233">
        <f>C14/C23</f>
        <v/>
      </c>
      <c r="D24" s="233">
        <f>D14/D23</f>
        <v/>
      </c>
      <c r="E24" s="233">
        <f>E14/E23</f>
        <v/>
      </c>
      <c r="F24" s="233">
        <f>F14/F23</f>
        <v/>
      </c>
      <c r="G24" s="233">
        <f>G14/G23</f>
        <v/>
      </c>
      <c r="H24" s="233">
        <f>H14/H23</f>
        <v/>
      </c>
      <c r="I24" s="22" t="n"/>
    </row>
    <row r="25" ht="19.5" customHeight="1">
      <c r="B25" s="64" t="inlineStr">
        <is>
          <t xml:space="preserve">  Interest Coverage  </t>
        </is>
      </c>
      <c r="C25" s="109" t="n"/>
      <c r="D25" s="260">
        <f>D23/-D12</f>
        <v/>
      </c>
      <c r="E25" s="260">
        <f>E23/-E12</f>
        <v/>
      </c>
      <c r="F25" s="260">
        <f>F23/-F12</f>
        <v/>
      </c>
      <c r="G25" s="260">
        <f>G23/-G12</f>
        <v/>
      </c>
      <c r="H25" s="260">
        <f>H23/-H12</f>
        <v/>
      </c>
      <c r="I25" s="46" t="n"/>
    </row>
    <row r="27" ht="15" customHeight="1">
      <c r="B27" s="210" t="inlineStr">
        <is>
          <t>EXIT ANALYSIS &amp; RETURNS  (Base Case)</t>
        </is>
      </c>
      <c r="C27" s="226" t="n"/>
      <c r="D27" s="226" t="n"/>
      <c r="E27" s="226" t="n"/>
      <c r="F27" s="226" t="n"/>
      <c r="G27" s="226" t="n"/>
      <c r="H27" s="226" t="n"/>
      <c r="I27" s="30" t="n"/>
    </row>
    <row r="28" ht="21.75" customHeight="1">
      <c r="B28" s="31" t="inlineStr">
        <is>
          <t xml:space="preserve">Exit EBITDA </t>
        </is>
      </c>
      <c r="C28" s="230">
        <f>'P&amp;L'!J10</f>
        <v/>
      </c>
      <c r="H28" s="4" t="n"/>
      <c r="I28" s="34" t="n"/>
    </row>
    <row r="29" ht="21.75" customHeight="1">
      <c r="B29" s="31" t="inlineStr">
        <is>
          <t>Exit EV/EBITDA Multiple</t>
        </is>
      </c>
      <c r="C29" s="233">
        <f>Inputs!$C$42</f>
        <v/>
      </c>
      <c r="H29" s="4" t="n"/>
      <c r="I29" s="34" t="n"/>
    </row>
    <row r="30" ht="21.75" customHeight="1">
      <c r="B30" s="31" t="inlineStr">
        <is>
          <t>Exit Enterprise Value</t>
        </is>
      </c>
      <c r="C30" s="230">
        <f>C28*C29</f>
        <v/>
      </c>
      <c r="H30" s="4" t="n"/>
      <c r="I30" s="34" t="n"/>
    </row>
    <row r="31" ht="21.75" customHeight="1">
      <c r="B31" s="31" t="inlineStr">
        <is>
          <t xml:space="preserve">  Less: Remaining Debt</t>
        </is>
      </c>
      <c r="C31" s="230">
        <f>-H14</f>
        <v/>
      </c>
      <c r="H31" s="4" t="n"/>
      <c r="I31" s="34" t="n"/>
    </row>
    <row r="32" ht="21.75" customHeight="1">
      <c r="B32" s="114" t="inlineStr">
        <is>
          <t>Exit Equity Value</t>
        </is>
      </c>
      <c r="C32" s="261">
        <f>C30+C31</f>
        <v/>
      </c>
      <c r="D32" s="226" t="n"/>
      <c r="E32" s="226" t="n"/>
      <c r="F32" s="226" t="n"/>
      <c r="G32" s="226" t="n"/>
      <c r="H32" s="115" t="n"/>
      <c r="I32" s="34" t="n"/>
    </row>
    <row r="33" ht="7.5" customHeight="1">
      <c r="B33" s="110" t="n"/>
      <c r="C33" s="9" t="n"/>
      <c r="D33" s="9" t="n"/>
      <c r="E33" s="9" t="n"/>
      <c r="F33" s="9" t="n"/>
      <c r="G33" s="9" t="n"/>
      <c r="H33" s="50" t="n"/>
      <c r="I33" s="34" t="n"/>
    </row>
    <row r="34" ht="21.75" customHeight="1">
      <c r="B34" s="114" t="inlineStr">
        <is>
          <t>Equity Invested</t>
        </is>
      </c>
      <c r="C34" s="261">
        <f>Inputs!$C$38</f>
        <v/>
      </c>
      <c r="D34" s="226" t="n"/>
      <c r="E34" s="226" t="n"/>
      <c r="F34" s="226" t="n"/>
      <c r="G34" s="226" t="n"/>
      <c r="H34" s="115" t="n"/>
      <c r="I34" s="34" t="n"/>
    </row>
    <row r="35" ht="21.75" customHeight="1">
      <c r="B35" s="114" t="inlineStr">
        <is>
          <t>MOIC</t>
        </is>
      </c>
      <c r="C35" s="262">
        <f>C32/C34</f>
        <v/>
      </c>
      <c r="D35" s="226" t="n"/>
      <c r="E35" s="226" t="n"/>
      <c r="F35" s="226" t="n"/>
      <c r="G35" s="226" t="n"/>
      <c r="H35" s="115" t="n"/>
      <c r="I35" s="34" t="n"/>
    </row>
    <row r="36" ht="7.5" customHeight="1">
      <c r="B36" s="51" t="n"/>
      <c r="C36" s="52" t="n"/>
      <c r="D36" s="52" t="n"/>
      <c r="E36" s="52" t="n"/>
      <c r="F36" s="52" t="n"/>
      <c r="G36" s="52" t="n"/>
      <c r="H36" s="53" t="n"/>
      <c r="I36" s="34" t="n"/>
    </row>
    <row r="37" ht="18" customHeight="1">
      <c r="B37" s="111" t="inlineStr">
        <is>
          <t>Equity Cash Flows for IRR</t>
        </is>
      </c>
      <c r="C37" s="107" t="inlineStr">
        <is>
          <t>Yr 0</t>
        </is>
      </c>
      <c r="D37" s="107" t="inlineStr">
        <is>
          <t>Yr 1</t>
        </is>
      </c>
      <c r="E37" s="107" t="inlineStr">
        <is>
          <t>Yr 2</t>
        </is>
      </c>
      <c r="F37" s="107" t="inlineStr">
        <is>
          <t>Yr 3</t>
        </is>
      </c>
      <c r="G37" s="107" t="inlineStr">
        <is>
          <t>Yr 4</t>
        </is>
      </c>
      <c r="H37" s="107" t="inlineStr">
        <is>
          <t>Yr 5</t>
        </is>
      </c>
      <c r="I37" s="34" t="n"/>
    </row>
    <row r="38" ht="19.5" customHeight="1">
      <c r="B38" s="108" t="n"/>
      <c r="C38" s="263">
        <f>-C34</f>
        <v/>
      </c>
      <c r="D38" s="264" t="n">
        <v>0</v>
      </c>
      <c r="E38" s="264" t="n">
        <v>0</v>
      </c>
      <c r="F38" s="264" t="n">
        <v>0</v>
      </c>
      <c r="G38" s="264" t="n">
        <v>0</v>
      </c>
      <c r="H38" s="230">
        <f>C32</f>
        <v/>
      </c>
      <c r="I38" s="34" t="n"/>
    </row>
    <row r="39" ht="24" customHeight="1">
      <c r="B39" s="116" t="inlineStr">
        <is>
          <t>IRR  (Base Case)</t>
        </is>
      </c>
      <c r="C39" s="220">
        <f>IRR(C38:H38)</f>
        <v/>
      </c>
      <c r="D39" s="248" t="n"/>
      <c r="E39" s="248" t="n"/>
      <c r="F39" s="248" t="n"/>
      <c r="G39" s="248" t="n"/>
      <c r="H39" s="57" t="n"/>
      <c r="I39" s="39" t="n"/>
    </row>
  </sheetData>
  <mergeCells count="15">
    <mergeCell ref="E4:F4"/>
    <mergeCell ref="C35:G35"/>
    <mergeCell ref="C30:G30"/>
    <mergeCell ref="C29:G29"/>
    <mergeCell ref="C34:G34"/>
    <mergeCell ref="B27:H27"/>
    <mergeCell ref="B1:H1"/>
    <mergeCell ref="C32:G32"/>
    <mergeCell ref="B9:H9"/>
    <mergeCell ref="C28:G28"/>
    <mergeCell ref="B16:H16"/>
    <mergeCell ref="C31:G31"/>
    <mergeCell ref="C39:G39"/>
    <mergeCell ref="B4:C4"/>
    <mergeCell ref="B3:H3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I11"/>
  <sheetViews>
    <sheetView showGridLines="0" zoomScaleNormal="100" workbookViewId="0">
      <selection activeCell="D14" sqref="D14"/>
    </sheetView>
  </sheetViews>
  <sheetFormatPr baseColWidth="10" defaultColWidth="8.6640625" defaultRowHeight="15"/>
  <cols>
    <col width="3" customWidth="1" min="1" max="1"/>
    <col width="20" customWidth="1" min="2" max="2"/>
    <col width="13" customWidth="1" min="3" max="9"/>
    <col width="3" customWidth="1" min="10" max="10"/>
    <col width="40" customWidth="1" min="11" max="11"/>
  </cols>
  <sheetData>
    <row r="1" ht="30" customHeight="1">
      <c r="B1" s="194" t="inlineStr">
        <is>
          <t xml:space="preserve">NPV SENSITIVITY   </t>
        </is>
      </c>
    </row>
    <row r="2" ht="30" customHeight="1">
      <c r="B2" s="221" t="n"/>
    </row>
    <row r="4" ht="36" customHeight="1">
      <c r="B4" s="117" t="inlineStr">
        <is>
          <t xml:space="preserve">Wacc / Revenue growth </t>
        </is>
      </c>
      <c r="C4" s="265" t="n">
        <v>0</v>
      </c>
      <c r="D4" s="265" t="n">
        <v>0.03</v>
      </c>
      <c r="E4" s="265" t="n">
        <v>0.05</v>
      </c>
      <c r="F4" s="265" t="n">
        <v>0.08</v>
      </c>
      <c r="G4" s="265" t="n">
        <v>0.1</v>
      </c>
      <c r="H4" s="265" t="n">
        <v>0.12</v>
      </c>
      <c r="I4" s="266" t="n">
        <v>0.15</v>
      </c>
    </row>
    <row r="5" ht="21.75" customHeight="1">
      <c r="B5" s="120" t="n">
        <v>0.05</v>
      </c>
      <c r="C5" s="267">
        <f>ROUND(Inputs!$C$5*(1+C$4)^1*(Inputs!$C$30*(1-Inputs!$C$18)+Inputs!$C$21*Inputs!$C$18-Inputs!$C$22-C$4/(1+C$4)*Inputs!$C$23)/(1+$B$5)^1+Inputs!$C$5*(1+C$4)^2*(Inputs!$C$31*(1-Inputs!$C$18)+Inputs!$C$21*Inputs!$C$18-Inputs!$C$22-C$4/(1+C$4)*Inputs!$C$23)/(1+$B$5)^2+Inputs!$C$5*(1+C$4)^3*(Inputs!$C$31*(1-Inputs!$C$18)+Inputs!$C$21*Inputs!$C$18-Inputs!$C$22-C$4/(1+C$4)*Inputs!$C$23)/(1+$B$5)^3+Inputs!$C$5*(1+C$4)^4*(Inputs!$C$31*(1-Inputs!$C$18)+Inputs!$C$21*Inputs!$C$18-Inputs!$C$22-C$4/(1+C$4)*Inputs!$C$23)/(1+$B$5)^4+Inputs!$C$5*(1+C$4)^5*(Inputs!$C$31*(1-Inputs!$C$18)+Inputs!$C$21*Inputs!$C$18-Inputs!$C$22-C$4/(1+C$4)*Inputs!$C$23)/(1+$B$5)^5+Inputs!$C$5*(1+C$4)^5*(Inputs!$C$31*(1-Inputs!$C$18)+Inputs!$C$21*Inputs!$C$18-Inputs!$C$22-C$4/(1+C$4)*Inputs!$C$23)*(1+Inputs!$C$24)/($B$5-Inputs!$C$24)/(1+$B$5)^5-Inputs!$C$36,0)</f>
        <v/>
      </c>
      <c r="D5" s="268">
        <f>ROUND(Inputs!$C$5*(1+D$4)^1*(Inputs!$C$30*(1-Inputs!$C$18)+Inputs!$C$21*Inputs!$C$18-Inputs!$C$22-D$4/(1+D$4)*Inputs!$C$23)/(1+$B$5)^1+Inputs!$C$5*(1+D$4)^2*(Inputs!$C$31*(1-Inputs!$C$18)+Inputs!$C$21*Inputs!$C$18-Inputs!$C$22-D$4/(1+D$4)*Inputs!$C$23)/(1+$B$5)^2+Inputs!$C$5*(1+D$4)^3*(Inputs!$C$31*(1-Inputs!$C$18)+Inputs!$C$21*Inputs!$C$18-Inputs!$C$22-D$4/(1+D$4)*Inputs!$C$23)/(1+$B$5)^3+Inputs!$C$5*(1+D$4)^4*(Inputs!$C$31*(1-Inputs!$C$18)+Inputs!$C$21*Inputs!$C$18-Inputs!$C$22-D$4/(1+D$4)*Inputs!$C$23)/(1+$B$5)^4+Inputs!$C$5*(1+D$4)^5*(Inputs!$C$31*(1-Inputs!$C$18)+Inputs!$C$21*Inputs!$C$18-Inputs!$C$22-D$4/(1+D$4)*Inputs!$C$23)/(1+$B$5)^5+Inputs!$C$5*(1+D$4)^5*(Inputs!$C$31*(1-Inputs!$C$18)+Inputs!$C$21*Inputs!$C$18-Inputs!$C$22-D$4/(1+D$4)*Inputs!$C$23)*(1+Inputs!$C$24)/($B$5-Inputs!$C$24)/(1+$B$5)^5-Inputs!$C$36,0)</f>
        <v/>
      </c>
      <c r="E5" s="268">
        <f>ROUND(Inputs!$C$5*(1+E$4)^1*(Inputs!$C$30*(1-Inputs!$C$18)+Inputs!$C$21*Inputs!$C$18-Inputs!$C$22-E$4/(1+E$4)*Inputs!$C$23)/(1+$B$5)^1+Inputs!$C$5*(1+E$4)^2*(Inputs!$C$31*(1-Inputs!$C$18)+Inputs!$C$21*Inputs!$C$18-Inputs!$C$22-E$4/(1+E$4)*Inputs!$C$23)/(1+$B$5)^2+Inputs!$C$5*(1+E$4)^3*(Inputs!$C$31*(1-Inputs!$C$18)+Inputs!$C$21*Inputs!$C$18-Inputs!$C$22-E$4/(1+E$4)*Inputs!$C$23)/(1+$B$5)^3+Inputs!$C$5*(1+E$4)^4*(Inputs!$C$31*(1-Inputs!$C$18)+Inputs!$C$21*Inputs!$C$18-Inputs!$C$22-E$4/(1+E$4)*Inputs!$C$23)/(1+$B$5)^4+Inputs!$C$5*(1+E$4)^5*(Inputs!$C$31*(1-Inputs!$C$18)+Inputs!$C$21*Inputs!$C$18-Inputs!$C$22-E$4/(1+E$4)*Inputs!$C$23)/(1+$B$5)^5+Inputs!$C$5*(1+E$4)^5*(Inputs!$C$31*(1-Inputs!$C$18)+Inputs!$C$21*Inputs!$C$18-Inputs!$C$22-E$4/(1+E$4)*Inputs!$C$23)*(1+Inputs!$C$24)/($B$5-Inputs!$C$24)/(1+$B$5)^5-Inputs!$C$36,0)</f>
        <v/>
      </c>
      <c r="F5" s="268">
        <f>ROUND(Inputs!$C$5*(1+F$4)^1*(Inputs!$C$30*(1-Inputs!$C$18)+Inputs!$C$21*Inputs!$C$18-Inputs!$C$22-F$4/(1+F$4)*Inputs!$C$23)/(1+$B$5)^1+Inputs!$C$5*(1+F$4)^2*(Inputs!$C$31*(1-Inputs!$C$18)+Inputs!$C$21*Inputs!$C$18-Inputs!$C$22-F$4/(1+F$4)*Inputs!$C$23)/(1+$B$5)^2+Inputs!$C$5*(1+F$4)^3*(Inputs!$C$31*(1-Inputs!$C$18)+Inputs!$C$21*Inputs!$C$18-Inputs!$C$22-F$4/(1+F$4)*Inputs!$C$23)/(1+$B$5)^3+Inputs!$C$5*(1+F$4)^4*(Inputs!$C$31*(1-Inputs!$C$18)+Inputs!$C$21*Inputs!$C$18-Inputs!$C$22-F$4/(1+F$4)*Inputs!$C$23)/(1+$B$5)^4+Inputs!$C$5*(1+F$4)^5*(Inputs!$C$31*(1-Inputs!$C$18)+Inputs!$C$21*Inputs!$C$18-Inputs!$C$22-F$4/(1+F$4)*Inputs!$C$23)/(1+$B$5)^5+Inputs!$C$5*(1+F$4)^5*(Inputs!$C$31*(1-Inputs!$C$18)+Inputs!$C$21*Inputs!$C$18-Inputs!$C$22-F$4/(1+F$4)*Inputs!$C$23)*(1+Inputs!$C$24)/($B$5-Inputs!$C$24)/(1+$B$5)^5-Inputs!$C$36,0)</f>
        <v/>
      </c>
      <c r="G5" s="268">
        <f>ROUND(Inputs!$C$5*(1+G$4)^1*(Inputs!$C$30*(1-Inputs!$C$18)+Inputs!$C$21*Inputs!$C$18-Inputs!$C$22-G$4/(1+G$4)*Inputs!$C$23)/(1+$B$5)^1+Inputs!$C$5*(1+G$4)^2*(Inputs!$C$31*(1-Inputs!$C$18)+Inputs!$C$21*Inputs!$C$18-Inputs!$C$22-G$4/(1+G$4)*Inputs!$C$23)/(1+$B$5)^2+Inputs!$C$5*(1+G$4)^3*(Inputs!$C$31*(1-Inputs!$C$18)+Inputs!$C$21*Inputs!$C$18-Inputs!$C$22-G$4/(1+G$4)*Inputs!$C$23)/(1+$B$5)^3+Inputs!$C$5*(1+G$4)^4*(Inputs!$C$31*(1-Inputs!$C$18)+Inputs!$C$21*Inputs!$C$18-Inputs!$C$22-G$4/(1+G$4)*Inputs!$C$23)/(1+$B$5)^4+Inputs!$C$5*(1+G$4)^5*(Inputs!$C$31*(1-Inputs!$C$18)+Inputs!$C$21*Inputs!$C$18-Inputs!$C$22-G$4/(1+G$4)*Inputs!$C$23)/(1+$B$5)^5+Inputs!$C$5*(1+G$4)^5*(Inputs!$C$31*(1-Inputs!$C$18)+Inputs!$C$21*Inputs!$C$18-Inputs!$C$22-G$4/(1+G$4)*Inputs!$C$23)*(1+Inputs!$C$24)/($B$5-Inputs!$C$24)/(1+$B$5)^5-Inputs!$C$36,0)</f>
        <v/>
      </c>
      <c r="H5" s="268">
        <f>ROUND(Inputs!$C$5*(1+H$4)^1*(Inputs!$C$30*(1-Inputs!$C$18)+Inputs!$C$21*Inputs!$C$18-Inputs!$C$22-H$4/(1+H$4)*Inputs!$C$23)/(1+$B$5)^1+Inputs!$C$5*(1+H$4)^2*(Inputs!$C$31*(1-Inputs!$C$18)+Inputs!$C$21*Inputs!$C$18-Inputs!$C$22-H$4/(1+H$4)*Inputs!$C$23)/(1+$B$5)^2+Inputs!$C$5*(1+H$4)^3*(Inputs!$C$31*(1-Inputs!$C$18)+Inputs!$C$21*Inputs!$C$18-Inputs!$C$22-H$4/(1+H$4)*Inputs!$C$23)/(1+$B$5)^3+Inputs!$C$5*(1+H$4)^4*(Inputs!$C$31*(1-Inputs!$C$18)+Inputs!$C$21*Inputs!$C$18-Inputs!$C$22-H$4/(1+H$4)*Inputs!$C$23)/(1+$B$5)^4+Inputs!$C$5*(1+H$4)^5*(Inputs!$C$31*(1-Inputs!$C$18)+Inputs!$C$21*Inputs!$C$18-Inputs!$C$22-H$4/(1+H$4)*Inputs!$C$23)/(1+$B$5)^5+Inputs!$C$5*(1+H$4)^5*(Inputs!$C$31*(1-Inputs!$C$18)+Inputs!$C$21*Inputs!$C$18-Inputs!$C$22-H$4/(1+H$4)*Inputs!$C$23)*(1+Inputs!$C$24)/($B$5-Inputs!$C$24)/(1+$B$5)^5-Inputs!$C$36,0)</f>
        <v/>
      </c>
      <c r="I5" s="269">
        <f>ROUND(Inputs!$C$5*(1+I$4)^1*(Inputs!$C$30*(1-Inputs!$C$18)+Inputs!$C$21*Inputs!$C$18-Inputs!$C$22-I$4/(1+I$4)*Inputs!$C$23)/(1+$B$5)^1+Inputs!$C$5*(1+I$4)^2*(Inputs!$C$31*(1-Inputs!$C$18)+Inputs!$C$21*Inputs!$C$18-Inputs!$C$22-I$4/(1+I$4)*Inputs!$C$23)/(1+$B$5)^2+Inputs!$C$5*(1+I$4)^3*(Inputs!$C$31*(1-Inputs!$C$18)+Inputs!$C$21*Inputs!$C$18-Inputs!$C$22-I$4/(1+I$4)*Inputs!$C$23)/(1+$B$5)^3+Inputs!$C$5*(1+I$4)^4*(Inputs!$C$31*(1-Inputs!$C$18)+Inputs!$C$21*Inputs!$C$18-Inputs!$C$22-I$4/(1+I$4)*Inputs!$C$23)/(1+$B$5)^4+Inputs!$C$5*(1+I$4)^5*(Inputs!$C$31*(1-Inputs!$C$18)+Inputs!$C$21*Inputs!$C$18-Inputs!$C$22-I$4/(1+I$4)*Inputs!$C$23)/(1+$B$5)^5+Inputs!$C$5*(1+I$4)^5*(Inputs!$C$31*(1-Inputs!$C$18)+Inputs!$C$21*Inputs!$C$18-Inputs!$C$22-I$4/(1+I$4)*Inputs!$C$23)*(1+Inputs!$C$24)/($B$5-Inputs!$C$24)/(1+$B$5)^5-Inputs!$C$36,0)</f>
        <v/>
      </c>
    </row>
    <row r="6" ht="21.75" customHeight="1">
      <c r="B6" s="120" t="n">
        <v>0.06</v>
      </c>
      <c r="C6" s="267">
        <f>ROUND(Inputs!$C$5*(1+C$4)^1*(Inputs!$C$30*(1-Inputs!$C$18)+Inputs!$C$21*Inputs!$C$18-Inputs!$C$22-C$4/(1+C$4)*Inputs!$C$23)/(1+$B$6)^1+Inputs!$C$5*(1+C$4)^2*(Inputs!$C$31*(1-Inputs!$C$18)+Inputs!$C$21*Inputs!$C$18-Inputs!$C$22-C$4/(1+C$4)*Inputs!$C$23)/(1+$B$6)^2+Inputs!$C$5*(1+C$4)^3*(Inputs!$C$31*(1-Inputs!$C$18)+Inputs!$C$21*Inputs!$C$18-Inputs!$C$22-C$4/(1+C$4)*Inputs!$C$23)/(1+$B$6)^3+Inputs!$C$5*(1+C$4)^4*(Inputs!$C$31*(1-Inputs!$C$18)+Inputs!$C$21*Inputs!$C$18-Inputs!$C$22-C$4/(1+C$4)*Inputs!$C$23)/(1+$B$6)^4+Inputs!$C$5*(1+C$4)^5*(Inputs!$C$31*(1-Inputs!$C$18)+Inputs!$C$21*Inputs!$C$18-Inputs!$C$22-C$4/(1+C$4)*Inputs!$C$23)/(1+$B$6)^5+Inputs!$C$5*(1+C$4)^5*(Inputs!$C$31*(1-Inputs!$C$18)+Inputs!$C$21*Inputs!$C$18-Inputs!$C$22-C$4/(1+C$4)*Inputs!$C$23)*(1+Inputs!$C$24)/($B$6-Inputs!$C$24)/(1+$B$6)^5-Inputs!$C$36,0)</f>
        <v/>
      </c>
      <c r="D6" s="268">
        <f>ROUND(Inputs!$C$5*(1+D$4)^1*(Inputs!$C$30*(1-Inputs!$C$18)+Inputs!$C$21*Inputs!$C$18-Inputs!$C$22-D$4/(1+D$4)*Inputs!$C$23)/(1+$B$6)^1+Inputs!$C$5*(1+D$4)^2*(Inputs!$C$31*(1-Inputs!$C$18)+Inputs!$C$21*Inputs!$C$18-Inputs!$C$22-D$4/(1+D$4)*Inputs!$C$23)/(1+$B$6)^2+Inputs!$C$5*(1+D$4)^3*(Inputs!$C$31*(1-Inputs!$C$18)+Inputs!$C$21*Inputs!$C$18-Inputs!$C$22-D$4/(1+D$4)*Inputs!$C$23)/(1+$B$6)^3+Inputs!$C$5*(1+D$4)^4*(Inputs!$C$31*(1-Inputs!$C$18)+Inputs!$C$21*Inputs!$C$18-Inputs!$C$22-D$4/(1+D$4)*Inputs!$C$23)/(1+$B$6)^4+Inputs!$C$5*(1+D$4)^5*(Inputs!$C$31*(1-Inputs!$C$18)+Inputs!$C$21*Inputs!$C$18-Inputs!$C$22-D$4/(1+D$4)*Inputs!$C$23)/(1+$B$6)^5+Inputs!$C$5*(1+D$4)^5*(Inputs!$C$31*(1-Inputs!$C$18)+Inputs!$C$21*Inputs!$C$18-Inputs!$C$22-D$4/(1+D$4)*Inputs!$C$23)*(1+Inputs!$C$24)/($B$6-Inputs!$C$24)/(1+$B$6)^5-Inputs!$C$36,0)</f>
        <v/>
      </c>
      <c r="E6" s="268">
        <f>ROUND(Inputs!$C$5*(1+E$4)^1*(Inputs!$C$30*(1-Inputs!$C$18)+Inputs!$C$21*Inputs!$C$18-Inputs!$C$22-E$4/(1+E$4)*Inputs!$C$23)/(1+$B$6)^1+Inputs!$C$5*(1+E$4)^2*(Inputs!$C$31*(1-Inputs!$C$18)+Inputs!$C$21*Inputs!$C$18-Inputs!$C$22-E$4/(1+E$4)*Inputs!$C$23)/(1+$B$6)^2+Inputs!$C$5*(1+E$4)^3*(Inputs!$C$31*(1-Inputs!$C$18)+Inputs!$C$21*Inputs!$C$18-Inputs!$C$22-E$4/(1+E$4)*Inputs!$C$23)/(1+$B$6)^3+Inputs!$C$5*(1+E$4)^4*(Inputs!$C$31*(1-Inputs!$C$18)+Inputs!$C$21*Inputs!$C$18-Inputs!$C$22-E$4/(1+E$4)*Inputs!$C$23)/(1+$B$6)^4+Inputs!$C$5*(1+E$4)^5*(Inputs!$C$31*(1-Inputs!$C$18)+Inputs!$C$21*Inputs!$C$18-Inputs!$C$22-E$4/(1+E$4)*Inputs!$C$23)/(1+$B$6)^5+Inputs!$C$5*(1+E$4)^5*(Inputs!$C$31*(1-Inputs!$C$18)+Inputs!$C$21*Inputs!$C$18-Inputs!$C$22-E$4/(1+E$4)*Inputs!$C$23)*(1+Inputs!$C$24)/($B$6-Inputs!$C$24)/(1+$B$6)^5-Inputs!$C$36,0)</f>
        <v/>
      </c>
      <c r="F6" s="268">
        <f>ROUND(Inputs!$C$5*(1+F$4)^1*(Inputs!$C$30*(1-Inputs!$C$18)+Inputs!$C$21*Inputs!$C$18-Inputs!$C$22-F$4/(1+F$4)*Inputs!$C$23)/(1+$B$6)^1+Inputs!$C$5*(1+F$4)^2*(Inputs!$C$31*(1-Inputs!$C$18)+Inputs!$C$21*Inputs!$C$18-Inputs!$C$22-F$4/(1+F$4)*Inputs!$C$23)/(1+$B$6)^2+Inputs!$C$5*(1+F$4)^3*(Inputs!$C$31*(1-Inputs!$C$18)+Inputs!$C$21*Inputs!$C$18-Inputs!$C$22-F$4/(1+F$4)*Inputs!$C$23)/(1+$B$6)^3+Inputs!$C$5*(1+F$4)^4*(Inputs!$C$31*(1-Inputs!$C$18)+Inputs!$C$21*Inputs!$C$18-Inputs!$C$22-F$4/(1+F$4)*Inputs!$C$23)/(1+$B$6)^4+Inputs!$C$5*(1+F$4)^5*(Inputs!$C$31*(1-Inputs!$C$18)+Inputs!$C$21*Inputs!$C$18-Inputs!$C$22-F$4/(1+F$4)*Inputs!$C$23)/(1+$B$6)^5+Inputs!$C$5*(1+F$4)^5*(Inputs!$C$31*(1-Inputs!$C$18)+Inputs!$C$21*Inputs!$C$18-Inputs!$C$22-F$4/(1+F$4)*Inputs!$C$23)*(1+Inputs!$C$24)/($B$6-Inputs!$C$24)/(1+$B$6)^5-Inputs!$C$36,0)</f>
        <v/>
      </c>
      <c r="G6" s="268">
        <f>ROUND(Inputs!$C$5*(1+G$4)^1*(Inputs!$C$30*(1-Inputs!$C$18)+Inputs!$C$21*Inputs!$C$18-Inputs!$C$22-G$4/(1+G$4)*Inputs!$C$23)/(1+$B$6)^1+Inputs!$C$5*(1+G$4)^2*(Inputs!$C$31*(1-Inputs!$C$18)+Inputs!$C$21*Inputs!$C$18-Inputs!$C$22-G$4/(1+G$4)*Inputs!$C$23)/(1+$B$6)^2+Inputs!$C$5*(1+G$4)^3*(Inputs!$C$31*(1-Inputs!$C$18)+Inputs!$C$21*Inputs!$C$18-Inputs!$C$22-G$4/(1+G$4)*Inputs!$C$23)/(1+$B$6)^3+Inputs!$C$5*(1+G$4)^4*(Inputs!$C$31*(1-Inputs!$C$18)+Inputs!$C$21*Inputs!$C$18-Inputs!$C$22-G$4/(1+G$4)*Inputs!$C$23)/(1+$B$6)^4+Inputs!$C$5*(1+G$4)^5*(Inputs!$C$31*(1-Inputs!$C$18)+Inputs!$C$21*Inputs!$C$18-Inputs!$C$22-G$4/(1+G$4)*Inputs!$C$23)/(1+$B$6)^5+Inputs!$C$5*(1+G$4)^5*(Inputs!$C$31*(1-Inputs!$C$18)+Inputs!$C$21*Inputs!$C$18-Inputs!$C$22-G$4/(1+G$4)*Inputs!$C$23)*(1+Inputs!$C$24)/($B$6-Inputs!$C$24)/(1+$B$6)^5-Inputs!$C$36,0)</f>
        <v/>
      </c>
      <c r="H6" s="268">
        <f>ROUND(Inputs!$C$5*(1+H$4)^1*(Inputs!$C$30*(1-Inputs!$C$18)+Inputs!$C$21*Inputs!$C$18-Inputs!$C$22-H$4/(1+H$4)*Inputs!$C$23)/(1+$B$6)^1+Inputs!$C$5*(1+H$4)^2*(Inputs!$C$31*(1-Inputs!$C$18)+Inputs!$C$21*Inputs!$C$18-Inputs!$C$22-H$4/(1+H$4)*Inputs!$C$23)/(1+$B$6)^2+Inputs!$C$5*(1+H$4)^3*(Inputs!$C$31*(1-Inputs!$C$18)+Inputs!$C$21*Inputs!$C$18-Inputs!$C$22-H$4/(1+H$4)*Inputs!$C$23)/(1+$B$6)^3+Inputs!$C$5*(1+H$4)^4*(Inputs!$C$31*(1-Inputs!$C$18)+Inputs!$C$21*Inputs!$C$18-Inputs!$C$22-H$4/(1+H$4)*Inputs!$C$23)/(1+$B$6)^4+Inputs!$C$5*(1+H$4)^5*(Inputs!$C$31*(1-Inputs!$C$18)+Inputs!$C$21*Inputs!$C$18-Inputs!$C$22-H$4/(1+H$4)*Inputs!$C$23)/(1+$B$6)^5+Inputs!$C$5*(1+H$4)^5*(Inputs!$C$31*(1-Inputs!$C$18)+Inputs!$C$21*Inputs!$C$18-Inputs!$C$22-H$4/(1+H$4)*Inputs!$C$23)*(1+Inputs!$C$24)/($B$6-Inputs!$C$24)/(1+$B$6)^5-Inputs!$C$36,0)</f>
        <v/>
      </c>
      <c r="I6" s="269">
        <f>ROUND(Inputs!$C$5*(1+I$4)^1*(Inputs!$C$30*(1-Inputs!$C$18)+Inputs!$C$21*Inputs!$C$18-Inputs!$C$22-I$4/(1+I$4)*Inputs!$C$23)/(1+$B$6)^1+Inputs!$C$5*(1+I$4)^2*(Inputs!$C$31*(1-Inputs!$C$18)+Inputs!$C$21*Inputs!$C$18-Inputs!$C$22-I$4/(1+I$4)*Inputs!$C$23)/(1+$B$6)^2+Inputs!$C$5*(1+I$4)^3*(Inputs!$C$31*(1-Inputs!$C$18)+Inputs!$C$21*Inputs!$C$18-Inputs!$C$22-I$4/(1+I$4)*Inputs!$C$23)/(1+$B$6)^3+Inputs!$C$5*(1+I$4)^4*(Inputs!$C$31*(1-Inputs!$C$18)+Inputs!$C$21*Inputs!$C$18-Inputs!$C$22-I$4/(1+I$4)*Inputs!$C$23)/(1+$B$6)^4+Inputs!$C$5*(1+I$4)^5*(Inputs!$C$31*(1-Inputs!$C$18)+Inputs!$C$21*Inputs!$C$18-Inputs!$C$22-I$4/(1+I$4)*Inputs!$C$23)/(1+$B$6)^5+Inputs!$C$5*(1+I$4)^5*(Inputs!$C$31*(1-Inputs!$C$18)+Inputs!$C$21*Inputs!$C$18-Inputs!$C$22-I$4/(1+I$4)*Inputs!$C$23)*(1+Inputs!$C$24)/($B$6-Inputs!$C$24)/(1+$B$6)^5-Inputs!$C$36,0)</f>
        <v/>
      </c>
    </row>
    <row r="7" ht="21.75" customHeight="1">
      <c r="B7" s="124" t="n">
        <v>0.0682</v>
      </c>
      <c r="C7" s="267">
        <f>ROUND(Inputs!$C$5*(1+C$4)^1*(Inputs!$C$30*(1-Inputs!$C$18)+Inputs!$C$21*Inputs!$C$18-Inputs!$C$22-C$4/(1+C$4)*Inputs!$C$23)/(1+$B$7)^1+Inputs!$C$5*(1+C$4)^2*(Inputs!$C$31*(1-Inputs!$C$18)+Inputs!$C$21*Inputs!$C$18-Inputs!$C$22-C$4/(1+C$4)*Inputs!$C$23)/(1+$B$7)^2+Inputs!$C$5*(1+C$4)^3*(Inputs!$C$31*(1-Inputs!$C$18)+Inputs!$C$21*Inputs!$C$18-Inputs!$C$22-C$4/(1+C$4)*Inputs!$C$23)/(1+$B$7)^3+Inputs!$C$5*(1+C$4)^4*(Inputs!$C$31*(1-Inputs!$C$18)+Inputs!$C$21*Inputs!$C$18-Inputs!$C$22-C$4/(1+C$4)*Inputs!$C$23)/(1+$B$7)^4+Inputs!$C$5*(1+C$4)^5*(Inputs!$C$31*(1-Inputs!$C$18)+Inputs!$C$21*Inputs!$C$18-Inputs!$C$22-C$4/(1+C$4)*Inputs!$C$23)/(1+$B$7)^5+Inputs!$C$5*(1+C$4)^5*(Inputs!$C$31*(1-Inputs!$C$18)+Inputs!$C$21*Inputs!$C$18-Inputs!$C$22-C$4/(1+C$4)*Inputs!$C$23)*(1+Inputs!$C$24)/($B$7-Inputs!$C$24)/(1+$B$7)^5-Inputs!$C$36,0)</f>
        <v/>
      </c>
      <c r="D7" s="268">
        <f>ROUND(Inputs!$C$5*(1+D$4)^1*(Inputs!$C$30*(1-Inputs!$C$18)+Inputs!$C$21*Inputs!$C$18-Inputs!$C$22-D$4/(1+D$4)*Inputs!$C$23)/(1+$B$7)^1+Inputs!$C$5*(1+D$4)^2*(Inputs!$C$31*(1-Inputs!$C$18)+Inputs!$C$21*Inputs!$C$18-Inputs!$C$22-D$4/(1+D$4)*Inputs!$C$23)/(1+$B$7)^2+Inputs!$C$5*(1+D$4)^3*(Inputs!$C$31*(1-Inputs!$C$18)+Inputs!$C$21*Inputs!$C$18-Inputs!$C$22-D$4/(1+D$4)*Inputs!$C$23)/(1+$B$7)^3+Inputs!$C$5*(1+D$4)^4*(Inputs!$C$31*(1-Inputs!$C$18)+Inputs!$C$21*Inputs!$C$18-Inputs!$C$22-D$4/(1+D$4)*Inputs!$C$23)/(1+$B$7)^4+Inputs!$C$5*(1+D$4)^5*(Inputs!$C$31*(1-Inputs!$C$18)+Inputs!$C$21*Inputs!$C$18-Inputs!$C$22-D$4/(1+D$4)*Inputs!$C$23)/(1+$B$7)^5+Inputs!$C$5*(1+D$4)^5*(Inputs!$C$31*(1-Inputs!$C$18)+Inputs!$C$21*Inputs!$C$18-Inputs!$C$22-D$4/(1+D$4)*Inputs!$C$23)*(1+Inputs!$C$24)/($B$7-Inputs!$C$24)/(1+$B$7)^5-Inputs!$C$36,0)</f>
        <v/>
      </c>
      <c r="E7" s="268">
        <f>ROUND(Inputs!$C$5*(1+E$4)^1*(Inputs!$C$30*(1-Inputs!$C$18)+Inputs!$C$21*Inputs!$C$18-Inputs!$C$22-E$4/(1+E$4)*Inputs!$C$23)/(1+$B$7)^1+Inputs!$C$5*(1+E$4)^2*(Inputs!$C$31*(1-Inputs!$C$18)+Inputs!$C$21*Inputs!$C$18-Inputs!$C$22-E$4/(1+E$4)*Inputs!$C$23)/(1+$B$7)^2+Inputs!$C$5*(1+E$4)^3*(Inputs!$C$31*(1-Inputs!$C$18)+Inputs!$C$21*Inputs!$C$18-Inputs!$C$22-E$4/(1+E$4)*Inputs!$C$23)/(1+$B$7)^3+Inputs!$C$5*(1+E$4)^4*(Inputs!$C$31*(1-Inputs!$C$18)+Inputs!$C$21*Inputs!$C$18-Inputs!$C$22-E$4/(1+E$4)*Inputs!$C$23)/(1+$B$7)^4+Inputs!$C$5*(1+E$4)^5*(Inputs!$C$31*(1-Inputs!$C$18)+Inputs!$C$21*Inputs!$C$18-Inputs!$C$22-E$4/(1+E$4)*Inputs!$C$23)/(1+$B$7)^5+Inputs!$C$5*(1+E$4)^5*(Inputs!$C$31*(1-Inputs!$C$18)+Inputs!$C$21*Inputs!$C$18-Inputs!$C$22-E$4/(1+E$4)*Inputs!$C$23)*(1+Inputs!$C$24)/($B$7-Inputs!$C$24)/(1+$B$7)^5-Inputs!$C$36,0)</f>
        <v/>
      </c>
      <c r="F7" s="270">
        <f>ROUND(Inputs!$C$5*(1+F$4)^1*(Inputs!$C$30*(1-Inputs!$C$18)+Inputs!$C$21*Inputs!$C$18-Inputs!$C$22-F$4/(1+F$4)*Inputs!$C$23)/(1+$B$7)^1+Inputs!$C$5*(1+F$4)^2*(Inputs!$C$31*(1-Inputs!$C$18)+Inputs!$C$21*Inputs!$C$18-Inputs!$C$22-F$4/(1+F$4)*Inputs!$C$23)/(1+$B$7)^2+Inputs!$C$5*(1+F$4)^3*(Inputs!$C$31*(1-Inputs!$C$18)+Inputs!$C$21*Inputs!$C$18-Inputs!$C$22-F$4/(1+F$4)*Inputs!$C$23)/(1+$B$7)^3+Inputs!$C$5*(1+F$4)^4*(Inputs!$C$31*(1-Inputs!$C$18)+Inputs!$C$21*Inputs!$C$18-Inputs!$C$22-F$4/(1+F$4)*Inputs!$C$23)/(1+$B$7)^4+Inputs!$C$5*(1+F$4)^5*(Inputs!$C$31*(1-Inputs!$C$18)+Inputs!$C$21*Inputs!$C$18-Inputs!$C$22-F$4/(1+F$4)*Inputs!$C$23)/(1+$B$7)^5+Inputs!$C$5*(1+F$4)^5*(Inputs!$C$31*(1-Inputs!$C$18)+Inputs!$C$21*Inputs!$C$18-Inputs!$C$22-F$4/(1+F$4)*Inputs!$C$23)*(1+Inputs!$C$24)/($B$7-Inputs!$C$24)/(1+$B$7)^5-Inputs!$C$36,0)</f>
        <v/>
      </c>
      <c r="G7" s="268">
        <f>ROUND(Inputs!$C$5*(1+G$4)^1*(Inputs!$C$30*(1-Inputs!$C$18)+Inputs!$C$21*Inputs!$C$18-Inputs!$C$22-G$4/(1+G$4)*Inputs!$C$23)/(1+$B$7)^1+Inputs!$C$5*(1+G$4)^2*(Inputs!$C$31*(1-Inputs!$C$18)+Inputs!$C$21*Inputs!$C$18-Inputs!$C$22-G$4/(1+G$4)*Inputs!$C$23)/(1+$B$7)^2+Inputs!$C$5*(1+G$4)^3*(Inputs!$C$31*(1-Inputs!$C$18)+Inputs!$C$21*Inputs!$C$18-Inputs!$C$22-G$4/(1+G$4)*Inputs!$C$23)/(1+$B$7)^3+Inputs!$C$5*(1+G$4)^4*(Inputs!$C$31*(1-Inputs!$C$18)+Inputs!$C$21*Inputs!$C$18-Inputs!$C$22-G$4/(1+G$4)*Inputs!$C$23)/(1+$B$7)^4+Inputs!$C$5*(1+G$4)^5*(Inputs!$C$31*(1-Inputs!$C$18)+Inputs!$C$21*Inputs!$C$18-Inputs!$C$22-G$4/(1+G$4)*Inputs!$C$23)/(1+$B$7)^5+Inputs!$C$5*(1+G$4)^5*(Inputs!$C$31*(1-Inputs!$C$18)+Inputs!$C$21*Inputs!$C$18-Inputs!$C$22-G$4/(1+G$4)*Inputs!$C$23)*(1+Inputs!$C$24)/($B$7-Inputs!$C$24)/(1+$B$7)^5-Inputs!$C$36,0)</f>
        <v/>
      </c>
      <c r="H7" s="268">
        <f>ROUND(Inputs!$C$5*(1+H$4)^1*(Inputs!$C$30*(1-Inputs!$C$18)+Inputs!$C$21*Inputs!$C$18-Inputs!$C$22-H$4/(1+H$4)*Inputs!$C$23)/(1+$B$7)^1+Inputs!$C$5*(1+H$4)^2*(Inputs!$C$31*(1-Inputs!$C$18)+Inputs!$C$21*Inputs!$C$18-Inputs!$C$22-H$4/(1+H$4)*Inputs!$C$23)/(1+$B$7)^2+Inputs!$C$5*(1+H$4)^3*(Inputs!$C$31*(1-Inputs!$C$18)+Inputs!$C$21*Inputs!$C$18-Inputs!$C$22-H$4/(1+H$4)*Inputs!$C$23)/(1+$B$7)^3+Inputs!$C$5*(1+H$4)^4*(Inputs!$C$31*(1-Inputs!$C$18)+Inputs!$C$21*Inputs!$C$18-Inputs!$C$22-H$4/(1+H$4)*Inputs!$C$23)/(1+$B$7)^4+Inputs!$C$5*(1+H$4)^5*(Inputs!$C$31*(1-Inputs!$C$18)+Inputs!$C$21*Inputs!$C$18-Inputs!$C$22-H$4/(1+H$4)*Inputs!$C$23)/(1+$B$7)^5+Inputs!$C$5*(1+H$4)^5*(Inputs!$C$31*(1-Inputs!$C$18)+Inputs!$C$21*Inputs!$C$18-Inputs!$C$22-H$4/(1+H$4)*Inputs!$C$23)*(1+Inputs!$C$24)/($B$7-Inputs!$C$24)/(1+$B$7)^5-Inputs!$C$36,0)</f>
        <v/>
      </c>
      <c r="I7" s="269">
        <f>ROUND(Inputs!$C$5*(1+I$4)^1*(Inputs!$C$30*(1-Inputs!$C$18)+Inputs!$C$21*Inputs!$C$18-Inputs!$C$22-I$4/(1+I$4)*Inputs!$C$23)/(1+$B$7)^1+Inputs!$C$5*(1+I$4)^2*(Inputs!$C$31*(1-Inputs!$C$18)+Inputs!$C$21*Inputs!$C$18-Inputs!$C$22-I$4/(1+I$4)*Inputs!$C$23)/(1+$B$7)^2+Inputs!$C$5*(1+I$4)^3*(Inputs!$C$31*(1-Inputs!$C$18)+Inputs!$C$21*Inputs!$C$18-Inputs!$C$22-I$4/(1+I$4)*Inputs!$C$23)/(1+$B$7)^3+Inputs!$C$5*(1+I$4)^4*(Inputs!$C$31*(1-Inputs!$C$18)+Inputs!$C$21*Inputs!$C$18-Inputs!$C$22-I$4/(1+I$4)*Inputs!$C$23)/(1+$B$7)^4+Inputs!$C$5*(1+I$4)^5*(Inputs!$C$31*(1-Inputs!$C$18)+Inputs!$C$21*Inputs!$C$18-Inputs!$C$22-I$4/(1+I$4)*Inputs!$C$23)/(1+$B$7)^5+Inputs!$C$5*(1+I$4)^5*(Inputs!$C$31*(1-Inputs!$C$18)+Inputs!$C$21*Inputs!$C$18-Inputs!$C$22-I$4/(1+I$4)*Inputs!$C$23)*(1+Inputs!$C$24)/($B$7-Inputs!$C$24)/(1+$B$7)^5-Inputs!$C$36,0)</f>
        <v/>
      </c>
    </row>
    <row r="8" ht="21.75" customHeight="1">
      <c r="B8" s="120" t="n">
        <v>0.08</v>
      </c>
      <c r="C8" s="267">
        <f>ROUND(Inputs!$C$5*(1+C$4)^1*(Inputs!$C$30*(1-Inputs!$C$18)+Inputs!$C$21*Inputs!$C$18-Inputs!$C$22-C$4/(1+C$4)*Inputs!$C$23)/(1+$B$8)^1+Inputs!$C$5*(1+C$4)^2*(Inputs!$C$31*(1-Inputs!$C$18)+Inputs!$C$21*Inputs!$C$18-Inputs!$C$22-C$4/(1+C$4)*Inputs!$C$23)/(1+$B$8)^2+Inputs!$C$5*(1+C$4)^3*(Inputs!$C$31*(1-Inputs!$C$18)+Inputs!$C$21*Inputs!$C$18-Inputs!$C$22-C$4/(1+C$4)*Inputs!$C$23)/(1+$B$8)^3+Inputs!$C$5*(1+C$4)^4*(Inputs!$C$31*(1-Inputs!$C$18)+Inputs!$C$21*Inputs!$C$18-Inputs!$C$22-C$4/(1+C$4)*Inputs!$C$23)/(1+$B$8)^4+Inputs!$C$5*(1+C$4)^5*(Inputs!$C$31*(1-Inputs!$C$18)+Inputs!$C$21*Inputs!$C$18-Inputs!$C$22-C$4/(1+C$4)*Inputs!$C$23)/(1+$B$8)^5+Inputs!$C$5*(1+C$4)^5*(Inputs!$C$31*(1-Inputs!$C$18)+Inputs!$C$21*Inputs!$C$18-Inputs!$C$22-C$4/(1+C$4)*Inputs!$C$23)*(1+Inputs!$C$24)/($B$8-Inputs!$C$24)/(1+$B$8)^5-Inputs!$C$36,0)</f>
        <v/>
      </c>
      <c r="D8" s="268">
        <f>ROUND(Inputs!$C$5*(1+D$4)^1*(Inputs!$C$30*(1-Inputs!$C$18)+Inputs!$C$21*Inputs!$C$18-Inputs!$C$22-D$4/(1+D$4)*Inputs!$C$23)/(1+$B$8)^1+Inputs!$C$5*(1+D$4)^2*(Inputs!$C$31*(1-Inputs!$C$18)+Inputs!$C$21*Inputs!$C$18-Inputs!$C$22-D$4/(1+D$4)*Inputs!$C$23)/(1+$B$8)^2+Inputs!$C$5*(1+D$4)^3*(Inputs!$C$31*(1-Inputs!$C$18)+Inputs!$C$21*Inputs!$C$18-Inputs!$C$22-D$4/(1+D$4)*Inputs!$C$23)/(1+$B$8)^3+Inputs!$C$5*(1+D$4)^4*(Inputs!$C$31*(1-Inputs!$C$18)+Inputs!$C$21*Inputs!$C$18-Inputs!$C$22-D$4/(1+D$4)*Inputs!$C$23)/(1+$B$8)^4+Inputs!$C$5*(1+D$4)^5*(Inputs!$C$31*(1-Inputs!$C$18)+Inputs!$C$21*Inputs!$C$18-Inputs!$C$22-D$4/(1+D$4)*Inputs!$C$23)/(1+$B$8)^5+Inputs!$C$5*(1+D$4)^5*(Inputs!$C$31*(1-Inputs!$C$18)+Inputs!$C$21*Inputs!$C$18-Inputs!$C$22-D$4/(1+D$4)*Inputs!$C$23)*(1+Inputs!$C$24)/($B$8-Inputs!$C$24)/(1+$B$8)^5-Inputs!$C$36,0)</f>
        <v/>
      </c>
      <c r="E8" s="268">
        <f>ROUND(Inputs!$C$5*(1+E$4)^1*(Inputs!$C$30*(1-Inputs!$C$18)+Inputs!$C$21*Inputs!$C$18-Inputs!$C$22-E$4/(1+E$4)*Inputs!$C$23)/(1+$B$8)^1+Inputs!$C$5*(1+E$4)^2*(Inputs!$C$31*(1-Inputs!$C$18)+Inputs!$C$21*Inputs!$C$18-Inputs!$C$22-E$4/(1+E$4)*Inputs!$C$23)/(1+$B$8)^2+Inputs!$C$5*(1+E$4)^3*(Inputs!$C$31*(1-Inputs!$C$18)+Inputs!$C$21*Inputs!$C$18-Inputs!$C$22-E$4/(1+E$4)*Inputs!$C$23)/(1+$B$8)^3+Inputs!$C$5*(1+E$4)^4*(Inputs!$C$31*(1-Inputs!$C$18)+Inputs!$C$21*Inputs!$C$18-Inputs!$C$22-E$4/(1+E$4)*Inputs!$C$23)/(1+$B$8)^4+Inputs!$C$5*(1+E$4)^5*(Inputs!$C$31*(1-Inputs!$C$18)+Inputs!$C$21*Inputs!$C$18-Inputs!$C$22-E$4/(1+E$4)*Inputs!$C$23)/(1+$B$8)^5+Inputs!$C$5*(1+E$4)^5*(Inputs!$C$31*(1-Inputs!$C$18)+Inputs!$C$21*Inputs!$C$18-Inputs!$C$22-E$4/(1+E$4)*Inputs!$C$23)*(1+Inputs!$C$24)/($B$8-Inputs!$C$24)/(1+$B$8)^5-Inputs!$C$36,0)</f>
        <v/>
      </c>
      <c r="F8" s="268">
        <f>ROUND(Inputs!$C$5*(1+F$4)^1*(Inputs!$C$30*(1-Inputs!$C$18)+Inputs!$C$21*Inputs!$C$18-Inputs!$C$22-F$4/(1+F$4)*Inputs!$C$23)/(1+$B$8)^1+Inputs!$C$5*(1+F$4)^2*(Inputs!$C$31*(1-Inputs!$C$18)+Inputs!$C$21*Inputs!$C$18-Inputs!$C$22-F$4/(1+F$4)*Inputs!$C$23)/(1+$B$8)^2+Inputs!$C$5*(1+F$4)^3*(Inputs!$C$31*(1-Inputs!$C$18)+Inputs!$C$21*Inputs!$C$18-Inputs!$C$22-F$4/(1+F$4)*Inputs!$C$23)/(1+$B$8)^3+Inputs!$C$5*(1+F$4)^4*(Inputs!$C$31*(1-Inputs!$C$18)+Inputs!$C$21*Inputs!$C$18-Inputs!$C$22-F$4/(1+F$4)*Inputs!$C$23)/(1+$B$8)^4+Inputs!$C$5*(1+F$4)^5*(Inputs!$C$31*(1-Inputs!$C$18)+Inputs!$C$21*Inputs!$C$18-Inputs!$C$22-F$4/(1+F$4)*Inputs!$C$23)/(1+$B$8)^5+Inputs!$C$5*(1+F$4)^5*(Inputs!$C$31*(1-Inputs!$C$18)+Inputs!$C$21*Inputs!$C$18-Inputs!$C$22-F$4/(1+F$4)*Inputs!$C$23)*(1+Inputs!$C$24)/($B$8-Inputs!$C$24)/(1+$B$8)^5-Inputs!$C$36,0)</f>
        <v/>
      </c>
      <c r="G8" s="268">
        <f>ROUND(Inputs!$C$5*(1+G$4)^1*(Inputs!$C$30*(1-Inputs!$C$18)+Inputs!$C$21*Inputs!$C$18-Inputs!$C$22-G$4/(1+G$4)*Inputs!$C$23)/(1+$B$8)^1+Inputs!$C$5*(1+G$4)^2*(Inputs!$C$31*(1-Inputs!$C$18)+Inputs!$C$21*Inputs!$C$18-Inputs!$C$22-G$4/(1+G$4)*Inputs!$C$23)/(1+$B$8)^2+Inputs!$C$5*(1+G$4)^3*(Inputs!$C$31*(1-Inputs!$C$18)+Inputs!$C$21*Inputs!$C$18-Inputs!$C$22-G$4/(1+G$4)*Inputs!$C$23)/(1+$B$8)^3+Inputs!$C$5*(1+G$4)^4*(Inputs!$C$31*(1-Inputs!$C$18)+Inputs!$C$21*Inputs!$C$18-Inputs!$C$22-G$4/(1+G$4)*Inputs!$C$23)/(1+$B$8)^4+Inputs!$C$5*(1+G$4)^5*(Inputs!$C$31*(1-Inputs!$C$18)+Inputs!$C$21*Inputs!$C$18-Inputs!$C$22-G$4/(1+G$4)*Inputs!$C$23)/(1+$B$8)^5+Inputs!$C$5*(1+G$4)^5*(Inputs!$C$31*(1-Inputs!$C$18)+Inputs!$C$21*Inputs!$C$18-Inputs!$C$22-G$4/(1+G$4)*Inputs!$C$23)*(1+Inputs!$C$24)/($B$8-Inputs!$C$24)/(1+$B$8)^5-Inputs!$C$36,0)</f>
        <v/>
      </c>
      <c r="H8" s="268">
        <f>ROUND(Inputs!$C$5*(1+H$4)^1*(Inputs!$C$30*(1-Inputs!$C$18)+Inputs!$C$21*Inputs!$C$18-Inputs!$C$22-H$4/(1+H$4)*Inputs!$C$23)/(1+$B$8)^1+Inputs!$C$5*(1+H$4)^2*(Inputs!$C$31*(1-Inputs!$C$18)+Inputs!$C$21*Inputs!$C$18-Inputs!$C$22-H$4/(1+H$4)*Inputs!$C$23)/(1+$B$8)^2+Inputs!$C$5*(1+H$4)^3*(Inputs!$C$31*(1-Inputs!$C$18)+Inputs!$C$21*Inputs!$C$18-Inputs!$C$22-H$4/(1+H$4)*Inputs!$C$23)/(1+$B$8)^3+Inputs!$C$5*(1+H$4)^4*(Inputs!$C$31*(1-Inputs!$C$18)+Inputs!$C$21*Inputs!$C$18-Inputs!$C$22-H$4/(1+H$4)*Inputs!$C$23)/(1+$B$8)^4+Inputs!$C$5*(1+H$4)^5*(Inputs!$C$31*(1-Inputs!$C$18)+Inputs!$C$21*Inputs!$C$18-Inputs!$C$22-H$4/(1+H$4)*Inputs!$C$23)/(1+$B$8)^5+Inputs!$C$5*(1+H$4)^5*(Inputs!$C$31*(1-Inputs!$C$18)+Inputs!$C$21*Inputs!$C$18-Inputs!$C$22-H$4/(1+H$4)*Inputs!$C$23)*(1+Inputs!$C$24)/($B$8-Inputs!$C$24)/(1+$B$8)^5-Inputs!$C$36,0)</f>
        <v/>
      </c>
      <c r="I8" s="269">
        <f>ROUND(Inputs!$C$5*(1+I$4)^1*(Inputs!$C$30*(1-Inputs!$C$18)+Inputs!$C$21*Inputs!$C$18-Inputs!$C$22-I$4/(1+I$4)*Inputs!$C$23)/(1+$B$8)^1+Inputs!$C$5*(1+I$4)^2*(Inputs!$C$31*(1-Inputs!$C$18)+Inputs!$C$21*Inputs!$C$18-Inputs!$C$22-I$4/(1+I$4)*Inputs!$C$23)/(1+$B$8)^2+Inputs!$C$5*(1+I$4)^3*(Inputs!$C$31*(1-Inputs!$C$18)+Inputs!$C$21*Inputs!$C$18-Inputs!$C$22-I$4/(1+I$4)*Inputs!$C$23)/(1+$B$8)^3+Inputs!$C$5*(1+I$4)^4*(Inputs!$C$31*(1-Inputs!$C$18)+Inputs!$C$21*Inputs!$C$18-Inputs!$C$22-I$4/(1+I$4)*Inputs!$C$23)/(1+$B$8)^4+Inputs!$C$5*(1+I$4)^5*(Inputs!$C$31*(1-Inputs!$C$18)+Inputs!$C$21*Inputs!$C$18-Inputs!$C$22-I$4/(1+I$4)*Inputs!$C$23)/(1+$B$8)^5+Inputs!$C$5*(1+I$4)^5*(Inputs!$C$31*(1-Inputs!$C$18)+Inputs!$C$21*Inputs!$C$18-Inputs!$C$22-I$4/(1+I$4)*Inputs!$C$23)*(1+Inputs!$C$24)/($B$8-Inputs!$C$24)/(1+$B$8)^5-Inputs!$C$36,0)</f>
        <v/>
      </c>
    </row>
    <row r="9" ht="21.75" customHeight="1">
      <c r="B9" s="120" t="n">
        <v>0.09</v>
      </c>
      <c r="C9" s="267">
        <f>ROUND(Inputs!$C$5*(1+C$4)^1*(Inputs!$C$30*(1-Inputs!$C$18)+Inputs!$C$21*Inputs!$C$18-Inputs!$C$22-C$4/(1+C$4)*Inputs!$C$23)/(1+$B$9)^1+Inputs!$C$5*(1+C$4)^2*(Inputs!$C$31*(1-Inputs!$C$18)+Inputs!$C$21*Inputs!$C$18-Inputs!$C$22-C$4/(1+C$4)*Inputs!$C$23)/(1+$B$9)^2+Inputs!$C$5*(1+C$4)^3*(Inputs!$C$31*(1-Inputs!$C$18)+Inputs!$C$21*Inputs!$C$18-Inputs!$C$22-C$4/(1+C$4)*Inputs!$C$23)/(1+$B$9)^3+Inputs!$C$5*(1+C$4)^4*(Inputs!$C$31*(1-Inputs!$C$18)+Inputs!$C$21*Inputs!$C$18-Inputs!$C$22-C$4/(1+C$4)*Inputs!$C$23)/(1+$B$9)^4+Inputs!$C$5*(1+C$4)^5*(Inputs!$C$31*(1-Inputs!$C$18)+Inputs!$C$21*Inputs!$C$18-Inputs!$C$22-C$4/(1+C$4)*Inputs!$C$23)/(1+$B$9)^5+Inputs!$C$5*(1+C$4)^5*(Inputs!$C$31*(1-Inputs!$C$18)+Inputs!$C$21*Inputs!$C$18-Inputs!$C$22-C$4/(1+C$4)*Inputs!$C$23)*(1+Inputs!$C$24)/($B$9-Inputs!$C$24)/(1+$B$9)^5-Inputs!$C$36,0)</f>
        <v/>
      </c>
      <c r="D9" s="268">
        <f>ROUND(Inputs!$C$5*(1+D$4)^1*(Inputs!$C$30*(1-Inputs!$C$18)+Inputs!$C$21*Inputs!$C$18-Inputs!$C$22-D$4/(1+D$4)*Inputs!$C$23)/(1+$B$9)^1+Inputs!$C$5*(1+D$4)^2*(Inputs!$C$31*(1-Inputs!$C$18)+Inputs!$C$21*Inputs!$C$18-Inputs!$C$22-D$4/(1+D$4)*Inputs!$C$23)/(1+$B$9)^2+Inputs!$C$5*(1+D$4)^3*(Inputs!$C$31*(1-Inputs!$C$18)+Inputs!$C$21*Inputs!$C$18-Inputs!$C$22-D$4/(1+D$4)*Inputs!$C$23)/(1+$B$9)^3+Inputs!$C$5*(1+D$4)^4*(Inputs!$C$31*(1-Inputs!$C$18)+Inputs!$C$21*Inputs!$C$18-Inputs!$C$22-D$4/(1+D$4)*Inputs!$C$23)/(1+$B$9)^4+Inputs!$C$5*(1+D$4)^5*(Inputs!$C$31*(1-Inputs!$C$18)+Inputs!$C$21*Inputs!$C$18-Inputs!$C$22-D$4/(1+D$4)*Inputs!$C$23)/(1+$B$9)^5+Inputs!$C$5*(1+D$4)^5*(Inputs!$C$31*(1-Inputs!$C$18)+Inputs!$C$21*Inputs!$C$18-Inputs!$C$22-D$4/(1+D$4)*Inputs!$C$23)*(1+Inputs!$C$24)/($B$9-Inputs!$C$24)/(1+$B$9)^5-Inputs!$C$36,0)</f>
        <v/>
      </c>
      <c r="E9" s="268">
        <f>ROUND(Inputs!$C$5*(1+E$4)^1*(Inputs!$C$30*(1-Inputs!$C$18)+Inputs!$C$21*Inputs!$C$18-Inputs!$C$22-E$4/(1+E$4)*Inputs!$C$23)/(1+$B$9)^1+Inputs!$C$5*(1+E$4)^2*(Inputs!$C$31*(1-Inputs!$C$18)+Inputs!$C$21*Inputs!$C$18-Inputs!$C$22-E$4/(1+E$4)*Inputs!$C$23)/(1+$B$9)^2+Inputs!$C$5*(1+E$4)^3*(Inputs!$C$31*(1-Inputs!$C$18)+Inputs!$C$21*Inputs!$C$18-Inputs!$C$22-E$4/(1+E$4)*Inputs!$C$23)/(1+$B$9)^3+Inputs!$C$5*(1+E$4)^4*(Inputs!$C$31*(1-Inputs!$C$18)+Inputs!$C$21*Inputs!$C$18-Inputs!$C$22-E$4/(1+E$4)*Inputs!$C$23)/(1+$B$9)^4+Inputs!$C$5*(1+E$4)^5*(Inputs!$C$31*(1-Inputs!$C$18)+Inputs!$C$21*Inputs!$C$18-Inputs!$C$22-E$4/(1+E$4)*Inputs!$C$23)/(1+$B$9)^5+Inputs!$C$5*(1+E$4)^5*(Inputs!$C$31*(1-Inputs!$C$18)+Inputs!$C$21*Inputs!$C$18-Inputs!$C$22-E$4/(1+E$4)*Inputs!$C$23)*(1+Inputs!$C$24)/($B$9-Inputs!$C$24)/(1+$B$9)^5-Inputs!$C$36,0)</f>
        <v/>
      </c>
      <c r="F9" s="268">
        <f>ROUND(Inputs!$C$5*(1+F$4)^1*(Inputs!$C$30*(1-Inputs!$C$18)+Inputs!$C$21*Inputs!$C$18-Inputs!$C$22-F$4/(1+F$4)*Inputs!$C$23)/(1+$B$9)^1+Inputs!$C$5*(1+F$4)^2*(Inputs!$C$31*(1-Inputs!$C$18)+Inputs!$C$21*Inputs!$C$18-Inputs!$C$22-F$4/(1+F$4)*Inputs!$C$23)/(1+$B$9)^2+Inputs!$C$5*(1+F$4)^3*(Inputs!$C$31*(1-Inputs!$C$18)+Inputs!$C$21*Inputs!$C$18-Inputs!$C$22-F$4/(1+F$4)*Inputs!$C$23)/(1+$B$9)^3+Inputs!$C$5*(1+F$4)^4*(Inputs!$C$31*(1-Inputs!$C$18)+Inputs!$C$21*Inputs!$C$18-Inputs!$C$22-F$4/(1+F$4)*Inputs!$C$23)/(1+$B$9)^4+Inputs!$C$5*(1+F$4)^5*(Inputs!$C$31*(1-Inputs!$C$18)+Inputs!$C$21*Inputs!$C$18-Inputs!$C$22-F$4/(1+F$4)*Inputs!$C$23)/(1+$B$9)^5+Inputs!$C$5*(1+F$4)^5*(Inputs!$C$31*(1-Inputs!$C$18)+Inputs!$C$21*Inputs!$C$18-Inputs!$C$22-F$4/(1+F$4)*Inputs!$C$23)*(1+Inputs!$C$24)/($B$9-Inputs!$C$24)/(1+$B$9)^5-Inputs!$C$36,0)</f>
        <v/>
      </c>
      <c r="G9" s="268">
        <f>ROUND(Inputs!$C$5*(1+G$4)^1*(Inputs!$C$30*(1-Inputs!$C$18)+Inputs!$C$21*Inputs!$C$18-Inputs!$C$22-G$4/(1+G$4)*Inputs!$C$23)/(1+$B$9)^1+Inputs!$C$5*(1+G$4)^2*(Inputs!$C$31*(1-Inputs!$C$18)+Inputs!$C$21*Inputs!$C$18-Inputs!$C$22-G$4/(1+G$4)*Inputs!$C$23)/(1+$B$9)^2+Inputs!$C$5*(1+G$4)^3*(Inputs!$C$31*(1-Inputs!$C$18)+Inputs!$C$21*Inputs!$C$18-Inputs!$C$22-G$4/(1+G$4)*Inputs!$C$23)/(1+$B$9)^3+Inputs!$C$5*(1+G$4)^4*(Inputs!$C$31*(1-Inputs!$C$18)+Inputs!$C$21*Inputs!$C$18-Inputs!$C$22-G$4/(1+G$4)*Inputs!$C$23)/(1+$B$9)^4+Inputs!$C$5*(1+G$4)^5*(Inputs!$C$31*(1-Inputs!$C$18)+Inputs!$C$21*Inputs!$C$18-Inputs!$C$22-G$4/(1+G$4)*Inputs!$C$23)/(1+$B$9)^5+Inputs!$C$5*(1+G$4)^5*(Inputs!$C$31*(1-Inputs!$C$18)+Inputs!$C$21*Inputs!$C$18-Inputs!$C$22-G$4/(1+G$4)*Inputs!$C$23)*(1+Inputs!$C$24)/($B$9-Inputs!$C$24)/(1+$B$9)^5-Inputs!$C$36,0)</f>
        <v/>
      </c>
      <c r="H9" s="268">
        <f>ROUND(Inputs!$C$5*(1+H$4)^1*(Inputs!$C$30*(1-Inputs!$C$18)+Inputs!$C$21*Inputs!$C$18-Inputs!$C$22-H$4/(1+H$4)*Inputs!$C$23)/(1+$B$9)^1+Inputs!$C$5*(1+H$4)^2*(Inputs!$C$31*(1-Inputs!$C$18)+Inputs!$C$21*Inputs!$C$18-Inputs!$C$22-H$4/(1+H$4)*Inputs!$C$23)/(1+$B$9)^2+Inputs!$C$5*(1+H$4)^3*(Inputs!$C$31*(1-Inputs!$C$18)+Inputs!$C$21*Inputs!$C$18-Inputs!$C$22-H$4/(1+H$4)*Inputs!$C$23)/(1+$B$9)^3+Inputs!$C$5*(1+H$4)^4*(Inputs!$C$31*(1-Inputs!$C$18)+Inputs!$C$21*Inputs!$C$18-Inputs!$C$22-H$4/(1+H$4)*Inputs!$C$23)/(1+$B$9)^4+Inputs!$C$5*(1+H$4)^5*(Inputs!$C$31*(1-Inputs!$C$18)+Inputs!$C$21*Inputs!$C$18-Inputs!$C$22-H$4/(1+H$4)*Inputs!$C$23)/(1+$B$9)^5+Inputs!$C$5*(1+H$4)^5*(Inputs!$C$31*(1-Inputs!$C$18)+Inputs!$C$21*Inputs!$C$18-Inputs!$C$22-H$4/(1+H$4)*Inputs!$C$23)*(1+Inputs!$C$24)/($B$9-Inputs!$C$24)/(1+$B$9)^5-Inputs!$C$36,0)</f>
        <v/>
      </c>
      <c r="I9" s="269">
        <f>ROUND(Inputs!$C$5*(1+I$4)^1*(Inputs!$C$30*(1-Inputs!$C$18)+Inputs!$C$21*Inputs!$C$18-Inputs!$C$22-I$4/(1+I$4)*Inputs!$C$23)/(1+$B$9)^1+Inputs!$C$5*(1+I$4)^2*(Inputs!$C$31*(1-Inputs!$C$18)+Inputs!$C$21*Inputs!$C$18-Inputs!$C$22-I$4/(1+I$4)*Inputs!$C$23)/(1+$B$9)^2+Inputs!$C$5*(1+I$4)^3*(Inputs!$C$31*(1-Inputs!$C$18)+Inputs!$C$21*Inputs!$C$18-Inputs!$C$22-I$4/(1+I$4)*Inputs!$C$23)/(1+$B$9)^3+Inputs!$C$5*(1+I$4)^4*(Inputs!$C$31*(1-Inputs!$C$18)+Inputs!$C$21*Inputs!$C$18-Inputs!$C$22-I$4/(1+I$4)*Inputs!$C$23)/(1+$B$9)^4+Inputs!$C$5*(1+I$4)^5*(Inputs!$C$31*(1-Inputs!$C$18)+Inputs!$C$21*Inputs!$C$18-Inputs!$C$22-I$4/(1+I$4)*Inputs!$C$23)/(1+$B$9)^5+Inputs!$C$5*(1+I$4)^5*(Inputs!$C$31*(1-Inputs!$C$18)+Inputs!$C$21*Inputs!$C$18-Inputs!$C$22-I$4/(1+I$4)*Inputs!$C$23)*(1+Inputs!$C$24)/($B$9-Inputs!$C$24)/(1+$B$9)^5-Inputs!$C$36,0)</f>
        <v/>
      </c>
    </row>
    <row r="10" ht="21.75" customHeight="1">
      <c r="B10" s="126" t="n">
        <v>0.1</v>
      </c>
      <c r="C10" s="271">
        <f>ROUND(Inputs!$C$5*(1+C$4)^1*(Inputs!$C$30*(1-Inputs!$C$18)+Inputs!$C$21*Inputs!$C$18-Inputs!$C$22-C$4/(1+C$4)*Inputs!$C$23)/(1+$B$10)^1+Inputs!$C$5*(1+C$4)^2*(Inputs!$C$31*(1-Inputs!$C$18)+Inputs!$C$21*Inputs!$C$18-Inputs!$C$22-C$4/(1+C$4)*Inputs!$C$23)/(1+$B$10)^2+Inputs!$C$5*(1+C$4)^3*(Inputs!$C$31*(1-Inputs!$C$18)+Inputs!$C$21*Inputs!$C$18-Inputs!$C$22-C$4/(1+C$4)*Inputs!$C$23)/(1+$B$10)^3+Inputs!$C$5*(1+C$4)^4*(Inputs!$C$31*(1-Inputs!$C$18)+Inputs!$C$21*Inputs!$C$18-Inputs!$C$22-C$4/(1+C$4)*Inputs!$C$23)/(1+$B$10)^4+Inputs!$C$5*(1+C$4)^5*(Inputs!$C$31*(1-Inputs!$C$18)+Inputs!$C$21*Inputs!$C$18-Inputs!$C$22-C$4/(1+C$4)*Inputs!$C$23)/(1+$B$10)^5+Inputs!$C$5*(1+C$4)^5*(Inputs!$C$31*(1-Inputs!$C$18)+Inputs!$C$21*Inputs!$C$18-Inputs!$C$22-C$4/(1+C$4)*Inputs!$C$23)*(1+Inputs!$C$24)/($B$10-Inputs!$C$24)/(1+$B$10)^5-Inputs!$C$36,0)</f>
        <v/>
      </c>
      <c r="D10" s="272">
        <f>ROUND(Inputs!$C$5*(1+D$4)^1*(Inputs!$C$30*(1-Inputs!$C$18)+Inputs!$C$21*Inputs!$C$18-Inputs!$C$22-D$4/(1+D$4)*Inputs!$C$23)/(1+$B$10)^1+Inputs!$C$5*(1+D$4)^2*(Inputs!$C$31*(1-Inputs!$C$18)+Inputs!$C$21*Inputs!$C$18-Inputs!$C$22-D$4/(1+D$4)*Inputs!$C$23)/(1+$B$10)^2+Inputs!$C$5*(1+D$4)^3*(Inputs!$C$31*(1-Inputs!$C$18)+Inputs!$C$21*Inputs!$C$18-Inputs!$C$22-D$4/(1+D$4)*Inputs!$C$23)/(1+$B$10)^3+Inputs!$C$5*(1+D$4)^4*(Inputs!$C$31*(1-Inputs!$C$18)+Inputs!$C$21*Inputs!$C$18-Inputs!$C$22-D$4/(1+D$4)*Inputs!$C$23)/(1+$B$10)^4+Inputs!$C$5*(1+D$4)^5*(Inputs!$C$31*(1-Inputs!$C$18)+Inputs!$C$21*Inputs!$C$18-Inputs!$C$22-D$4/(1+D$4)*Inputs!$C$23)/(1+$B$10)^5+Inputs!$C$5*(1+D$4)^5*(Inputs!$C$31*(1-Inputs!$C$18)+Inputs!$C$21*Inputs!$C$18-Inputs!$C$22-D$4/(1+D$4)*Inputs!$C$23)*(1+Inputs!$C$24)/($B$10-Inputs!$C$24)/(1+$B$10)^5-Inputs!$C$36,0)</f>
        <v/>
      </c>
      <c r="E10" s="272">
        <f>ROUND(Inputs!$C$5*(1+E$4)^1*(Inputs!$C$30*(1-Inputs!$C$18)+Inputs!$C$21*Inputs!$C$18-Inputs!$C$22-E$4/(1+E$4)*Inputs!$C$23)/(1+$B$10)^1+Inputs!$C$5*(1+E$4)^2*(Inputs!$C$31*(1-Inputs!$C$18)+Inputs!$C$21*Inputs!$C$18-Inputs!$C$22-E$4/(1+E$4)*Inputs!$C$23)/(1+$B$10)^2+Inputs!$C$5*(1+E$4)^3*(Inputs!$C$31*(1-Inputs!$C$18)+Inputs!$C$21*Inputs!$C$18-Inputs!$C$22-E$4/(1+E$4)*Inputs!$C$23)/(1+$B$10)^3+Inputs!$C$5*(1+E$4)^4*(Inputs!$C$31*(1-Inputs!$C$18)+Inputs!$C$21*Inputs!$C$18-Inputs!$C$22-E$4/(1+E$4)*Inputs!$C$23)/(1+$B$10)^4+Inputs!$C$5*(1+E$4)^5*(Inputs!$C$31*(1-Inputs!$C$18)+Inputs!$C$21*Inputs!$C$18-Inputs!$C$22-E$4/(1+E$4)*Inputs!$C$23)/(1+$B$10)^5+Inputs!$C$5*(1+E$4)^5*(Inputs!$C$31*(1-Inputs!$C$18)+Inputs!$C$21*Inputs!$C$18-Inputs!$C$22-E$4/(1+E$4)*Inputs!$C$23)*(1+Inputs!$C$24)/($B$10-Inputs!$C$24)/(1+$B$10)^5-Inputs!$C$36,0)</f>
        <v/>
      </c>
      <c r="F10" s="272">
        <f>ROUND(Inputs!$C$5*(1+F$4)^1*(Inputs!$C$30*(1-Inputs!$C$18)+Inputs!$C$21*Inputs!$C$18-Inputs!$C$22-F$4/(1+F$4)*Inputs!$C$23)/(1+$B$10)^1+Inputs!$C$5*(1+F$4)^2*(Inputs!$C$31*(1-Inputs!$C$18)+Inputs!$C$21*Inputs!$C$18-Inputs!$C$22-F$4/(1+F$4)*Inputs!$C$23)/(1+$B$10)^2+Inputs!$C$5*(1+F$4)^3*(Inputs!$C$31*(1-Inputs!$C$18)+Inputs!$C$21*Inputs!$C$18-Inputs!$C$22-F$4/(1+F$4)*Inputs!$C$23)/(1+$B$10)^3+Inputs!$C$5*(1+F$4)^4*(Inputs!$C$31*(1-Inputs!$C$18)+Inputs!$C$21*Inputs!$C$18-Inputs!$C$22-F$4/(1+F$4)*Inputs!$C$23)/(1+$B$10)^4+Inputs!$C$5*(1+F$4)^5*(Inputs!$C$31*(1-Inputs!$C$18)+Inputs!$C$21*Inputs!$C$18-Inputs!$C$22-F$4/(1+F$4)*Inputs!$C$23)/(1+$B$10)^5+Inputs!$C$5*(1+F$4)^5*(Inputs!$C$31*(1-Inputs!$C$18)+Inputs!$C$21*Inputs!$C$18-Inputs!$C$22-F$4/(1+F$4)*Inputs!$C$23)*(1+Inputs!$C$24)/($B$10-Inputs!$C$24)/(1+$B$10)^5-Inputs!$C$36,0)</f>
        <v/>
      </c>
      <c r="G10" s="273">
        <f>ROUND(Inputs!$C$5*(1+G$4)^1*(Inputs!$C$30*(1-Inputs!$C$18)+Inputs!$C$21*Inputs!$C$18-Inputs!$C$22-G$4/(1+G$4)*Inputs!$C$23)/(1+$B$10)^1+Inputs!$C$5*(1+G$4)^2*(Inputs!$C$31*(1-Inputs!$C$18)+Inputs!$C$21*Inputs!$C$18-Inputs!$C$22-G$4/(1+G$4)*Inputs!$C$23)/(1+$B$10)^2+Inputs!$C$5*(1+G$4)^3*(Inputs!$C$31*(1-Inputs!$C$18)+Inputs!$C$21*Inputs!$C$18-Inputs!$C$22-G$4/(1+G$4)*Inputs!$C$23)/(1+$B$10)^3+Inputs!$C$5*(1+G$4)^4*(Inputs!$C$31*(1-Inputs!$C$18)+Inputs!$C$21*Inputs!$C$18-Inputs!$C$22-G$4/(1+G$4)*Inputs!$C$23)/(1+$B$10)^4+Inputs!$C$5*(1+G$4)^5*(Inputs!$C$31*(1-Inputs!$C$18)+Inputs!$C$21*Inputs!$C$18-Inputs!$C$22-G$4/(1+G$4)*Inputs!$C$23)/(1+$B$10)^5+Inputs!$C$5*(1+G$4)^5*(Inputs!$C$31*(1-Inputs!$C$18)+Inputs!$C$21*Inputs!$C$18-Inputs!$C$22-G$4/(1+G$4)*Inputs!$C$23)*(1+Inputs!$C$24)/($B$10-Inputs!$C$24)/(1+$B$10)^5-Inputs!$C$36,0)</f>
        <v/>
      </c>
      <c r="H10" s="273">
        <f>ROUND(Inputs!$C$5*(1+H$4)^1*(Inputs!$C$30*(1-Inputs!$C$18)+Inputs!$C$21*Inputs!$C$18-Inputs!$C$22-H$4/(1+H$4)*Inputs!$C$23)/(1+$B$10)^1+Inputs!$C$5*(1+H$4)^2*(Inputs!$C$31*(1-Inputs!$C$18)+Inputs!$C$21*Inputs!$C$18-Inputs!$C$22-H$4/(1+H$4)*Inputs!$C$23)/(1+$B$10)^2+Inputs!$C$5*(1+H$4)^3*(Inputs!$C$31*(1-Inputs!$C$18)+Inputs!$C$21*Inputs!$C$18-Inputs!$C$22-H$4/(1+H$4)*Inputs!$C$23)/(1+$B$10)^3+Inputs!$C$5*(1+H$4)^4*(Inputs!$C$31*(1-Inputs!$C$18)+Inputs!$C$21*Inputs!$C$18-Inputs!$C$22-H$4/(1+H$4)*Inputs!$C$23)/(1+$B$10)^4+Inputs!$C$5*(1+H$4)^5*(Inputs!$C$31*(1-Inputs!$C$18)+Inputs!$C$21*Inputs!$C$18-Inputs!$C$22-H$4/(1+H$4)*Inputs!$C$23)/(1+$B$10)^5+Inputs!$C$5*(1+H$4)^5*(Inputs!$C$31*(1-Inputs!$C$18)+Inputs!$C$21*Inputs!$C$18-Inputs!$C$22-H$4/(1+H$4)*Inputs!$C$23)*(1+Inputs!$C$24)/($B$10-Inputs!$C$24)/(1+$B$10)^5-Inputs!$C$36,0)</f>
        <v/>
      </c>
      <c r="I10" s="274">
        <f>ROUND(Inputs!$C$5*(1+I$4)^1*(Inputs!$C$30*(1-Inputs!$C$18)+Inputs!$C$21*Inputs!$C$18-Inputs!$C$22-I$4/(1+I$4)*Inputs!$C$23)/(1+$B$10)^1+Inputs!$C$5*(1+I$4)^2*(Inputs!$C$31*(1-Inputs!$C$18)+Inputs!$C$21*Inputs!$C$18-Inputs!$C$22-I$4/(1+I$4)*Inputs!$C$23)/(1+$B$10)^2+Inputs!$C$5*(1+I$4)^3*(Inputs!$C$31*(1-Inputs!$C$18)+Inputs!$C$21*Inputs!$C$18-Inputs!$C$22-I$4/(1+I$4)*Inputs!$C$23)/(1+$B$10)^3+Inputs!$C$5*(1+I$4)^4*(Inputs!$C$31*(1-Inputs!$C$18)+Inputs!$C$21*Inputs!$C$18-Inputs!$C$22-I$4/(1+I$4)*Inputs!$C$23)/(1+$B$10)^4+Inputs!$C$5*(1+I$4)^5*(Inputs!$C$31*(1-Inputs!$C$18)+Inputs!$C$21*Inputs!$C$18-Inputs!$C$22-I$4/(1+I$4)*Inputs!$C$23)/(1+$B$10)^5+Inputs!$C$5*(1+I$4)^5*(Inputs!$C$31*(1-Inputs!$C$18)+Inputs!$C$21*Inputs!$C$18-Inputs!$C$22-I$4/(1+I$4)*Inputs!$C$23)*(1+Inputs!$C$24)/($B$10-Inputs!$C$24)/(1+$B$10)^5-Inputs!$C$36,0)</f>
        <v/>
      </c>
    </row>
    <row r="11" ht="19.5" customHeight="1">
      <c r="B11" s="222" t="inlineStr">
        <is>
          <t xml:space="preserve"> Gold = Base Case (WACC 6.82%, Growth 8%)  </t>
        </is>
      </c>
    </row>
  </sheetData>
  <mergeCells count="3">
    <mergeCell ref="B11:I11"/>
    <mergeCell ref="B1:I1"/>
    <mergeCell ref="B2:I2"/>
  </mergeCells>
  <pageMargins left="0.25" right="0.25" top="0.3" bottom="0.3" header="0" footer="0"/>
  <pageSetup orientation="landscape" paperSize="9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G34"/>
  <sheetViews>
    <sheetView showGridLines="0" topLeftCell="A6" zoomScaleNormal="100" workbookViewId="0">
      <selection activeCell="I24" sqref="I24"/>
    </sheetView>
  </sheetViews>
  <sheetFormatPr baseColWidth="10" defaultColWidth="8.6640625" defaultRowHeight="15"/>
  <cols>
    <col width="3" customWidth="1" min="1" max="1"/>
    <col width="32" customWidth="1" min="2" max="2"/>
    <col width="18" customWidth="1" min="3" max="4"/>
    <col width="31.1640625" customWidth="1" min="5" max="5"/>
    <col width="3" customWidth="1" min="6" max="6"/>
    <col width="28" customWidth="1" min="7" max="7"/>
  </cols>
  <sheetData>
    <row r="1" ht="31.5" customHeight="1">
      <c r="B1" s="180" t="inlineStr">
        <is>
          <t>VALUATION SUMMARY   -  BioFresh SAS</t>
        </is>
      </c>
    </row>
    <row r="3" ht="21.75" customHeight="1">
      <c r="B3" s="131" t="inlineStr">
        <is>
          <t>Method</t>
        </is>
      </c>
      <c r="C3" s="132" t="inlineStr">
        <is>
          <t>Implied EV (€k)</t>
        </is>
      </c>
      <c r="D3" s="132" t="inlineStr">
        <is>
          <t>vs. Offer Price</t>
        </is>
      </c>
      <c r="E3" s="133" t="n"/>
    </row>
    <row r="4" ht="21.75" customHeight="1">
      <c r="B4" s="134" t="inlineStr">
        <is>
          <t>DCF - Bear Scenario</t>
        </is>
      </c>
      <c r="C4" s="275">
        <f>Scenarios!$C$22</f>
        <v/>
      </c>
      <c r="D4" s="276">
        <f>Scenarios!$C$22/Inputs!$C$36-1</f>
        <v/>
      </c>
      <c r="E4" s="135" t="inlineStr">
        <is>
          <t>3% growth, 13.0% margins - conservative</t>
        </is>
      </c>
      <c r="F4" s="11" t="n"/>
      <c r="G4" s="11" t="n"/>
    </row>
    <row r="5" ht="21.75" customHeight="1">
      <c r="B5" s="134" t="inlineStr">
        <is>
          <t>DCF - Base Scenario</t>
        </is>
      </c>
      <c r="C5" s="277">
        <f>Scenarios!$C$52</f>
        <v/>
      </c>
      <c r="D5" s="278">
        <f>Scenarios!$C$52/Inputs!$C$36-1</f>
        <v/>
      </c>
      <c r="E5" s="135" t="inlineStr">
        <is>
          <t>8% growth, 14.5-15.0% margins - base</t>
        </is>
      </c>
      <c r="F5" s="11" t="n"/>
      <c r="G5" s="11" t="n"/>
    </row>
    <row r="6" ht="21.75" customHeight="1">
      <c r="B6" s="134" t="inlineStr">
        <is>
          <t>DCF - Bull Scenario</t>
        </is>
      </c>
      <c r="C6" s="279">
        <f>Scenarios!$C$82</f>
        <v/>
      </c>
      <c r="D6" s="280">
        <f>Scenarios!$C$82/Inputs!$C$36-1</f>
        <v/>
      </c>
      <c r="E6" s="135" t="inlineStr">
        <is>
          <t>12% growth, 15.5% margins - optimistic</t>
        </is>
      </c>
      <c r="F6" s="11" t="n"/>
      <c r="G6" s="11" t="n"/>
    </row>
    <row r="7" ht="21.75" customHeight="1">
      <c r="B7" s="136" t="inlineStr">
        <is>
          <t xml:space="preserve">  Entry EV (Offer Price)</t>
        </is>
      </c>
      <c r="C7" s="281">
        <f>Inputs!$C$36</f>
        <v/>
      </c>
      <c r="D7" s="282">
        <f>0</f>
        <v/>
      </c>
      <c r="E7" s="137" t="inlineStr">
        <is>
          <t xml:space="preserve">Verdant Capital NBO </t>
        </is>
      </c>
      <c r="F7" s="11" t="n"/>
      <c r="G7" s="11" t="n"/>
    </row>
    <row r="9" ht="7.5" customHeight="1"/>
    <row r="10" ht="15.75" customHeight="1">
      <c r="B10" t="inlineStr">
        <is>
          <t>Bear DCF</t>
        </is>
      </c>
      <c r="C10" s="283" t="n">
        <v>84058</v>
      </c>
    </row>
    <row r="11" ht="15.75" customHeight="1">
      <c r="B11" t="inlineStr">
        <is>
          <t>Base DCF</t>
        </is>
      </c>
      <c r="C11" s="283" t="n">
        <v>119945</v>
      </c>
    </row>
    <row r="12" ht="15.75" customHeight="1">
      <c r="B12" t="inlineStr">
        <is>
          <t>Bull DCF</t>
        </is>
      </c>
      <c r="C12" s="283" t="n">
        <v>144154</v>
      </c>
    </row>
    <row r="13" ht="15.75" customHeight="1">
      <c r="B13" t="inlineStr">
        <is>
          <t>Entry EV</t>
        </is>
      </c>
      <c r="C13" s="283" t="n">
        <v>75000</v>
      </c>
    </row>
    <row r="30" ht="31.5" customHeight="1">
      <c r="B30" s="180" t="inlineStr">
        <is>
          <t>CONCLUSION &amp; INVESTMENT RECOMMENDATION</t>
        </is>
      </c>
    </row>
    <row r="31" ht="69.75" customHeight="1">
      <c r="B31" s="223" t="inlineStr">
        <is>
          <t xml:space="preserve">The DCF produces the highest implied enterprise value €88M–€144M depending on scenario because it capitalises future growth. At an 8% revenue CAGR and margin expansion to 15%, BioFresh generates over €5.8M of unlevered free cash flow by FY2029. The terminal value alone accounts for approximately 83% of total DCF value  meaning the model is acutely sensitive to the long-term growth and WACC assumptions. </t>
        </is>
      </c>
    </row>
    <row r="32" ht="67.5" customHeight="1">
      <c r="B32" s="223" t="inlineStr">
        <is>
          <t>The offer price of €75M sits deliberately between these two bounds. Verdant pays a 31% control premium over the trading-comps median €57M compensating the founders for relinquishing ownership. At the same time, Verdant acquires the asset at a 37% discount to the base-case DCF value  capturing substantial upside. This is the fundamental  of private equity buy below intrinsic value, apply operational improvements, exit at a higher multiple.</t>
        </is>
      </c>
    </row>
    <row r="33" ht="21.75" customHeight="1">
      <c r="B33" s="224" t="inlineStr">
        <is>
          <t>NPV ANALYSIS &amp; RECOMMENDATION</t>
        </is>
      </c>
    </row>
    <row r="34" ht="61.5" customHeight="1">
      <c r="B34" s="223" t="inlineStr">
        <is>
          <t>The acquisition NPV is positive in all three scenarios- +€13M (Bear), +€45M (Base), +€69M (Bull). Even in the conservative bear case 3% revenue growth, compressed 13% EBITDA margin, the deal generates positive value for Verdant. The LBO generates an IRR of 16.2% in the bear case below the 20% hurdle but manageable, 26.7% in base case above hurdle which investment committee requirement mets and 33.3% in the bull case.</t>
        </is>
      </c>
    </row>
  </sheetData>
  <mergeCells count="6">
    <mergeCell ref="B31:E31"/>
    <mergeCell ref="B1:E1"/>
    <mergeCell ref="B30:E30"/>
    <mergeCell ref="B33:E33"/>
    <mergeCell ref="B34:E34"/>
    <mergeCell ref="B32:E32"/>
  </mergeCells>
  <pageMargins left="0.25" right="0.25" top="0.3" bottom="0.3" header="0" footer="0"/>
  <pageSetup orientation="landscape" paperSize="9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2026-06-04T20:33:50Z</dcterms:created>
  <dcterms:modified xmlns:dcterms="http://purl.org/dc/terms/" xmlns:xsi="http://www.w3.org/2001/XMLSchema-instance" xsi:type="dcterms:W3CDTF">2026-07-02T20:16:55Z</dcterms:modified>
  <cp:lastModifiedBy>SHRENICK KOTHARI Aryan</cp:lastModifiedBy>
  <cp:revision>3</cp:revision>
</cp:coreProperties>
</file>